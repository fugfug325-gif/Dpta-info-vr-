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4ec2f41e343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" sheetId="1" r:id="Rbe1aaf24aeac42b1"/>
    <x:sheet xmlns:r="http://schemas.openxmlformats.org/officeDocument/2006/relationships" name="Расчеты" sheetId="2" r:id="R018c950dcbb44ab4"/>
  </x:sheets>
</x:workbook>
</file>

<file path=xl/sharedStrings.xml><?xml version="1.0" encoding="utf-8"?>
<x:sst xmlns:x="http://schemas.openxmlformats.org/spreadsheetml/2006/main">
  <x:si>
    <x:t xml:space="preserve">Герой</x:t>
  </x:si>
  <x:si>
    <x:t xml:space="preserve">Пикрейт 7.40, %</x:t>
  </x:si>
  <x:si>
    <x:t xml:space="preserve">Винрейт 7.40, %</x:t>
  </x:si>
  <x:si>
    <x:t xml:space="preserve">Пикрейт 7.41, %</x:t>
  </x:si>
  <x:si>
    <x:t xml:space="preserve">Винрейт 7.41, %</x:t>
  </x:si>
  <x:si>
    <x:t xml:space="preserve">Изменение пикрейта, п. п.</x:t>
  </x:si>
  <x:si>
    <x:t xml:space="preserve">Изменение винрейта, п. п.</x:t>
  </x:si>
  <x:si>
    <x:t xml:space="preserve">Ранг пикрейта 7.40</x:t>
  </x:si>
  <x:si>
    <x:t xml:space="preserve">Ранг винрейта 7.40</x:t>
  </x:si>
  <x:si>
    <x:t xml:space="preserve">Ранг пикрейта 7.41</x:t>
  </x:si>
  <x:si>
    <x:t xml:space="preserve">Ранг винрейта 7.41</x:t>
  </x:si>
  <x:si>
    <x:t xml:space="preserve">Ранг изменения пикрейта</x:t>
  </x:si>
  <x:si>
    <x:t xml:space="preserve">Ранг изменения винрейта</x:t>
  </x:si>
  <x:si>
    <x:t xml:space="preserve">Группа по изменению винрейта</x:t>
  </x:si>
  <x:si>
    <x:t xml:space="preserve">Pudge</x:t>
  </x:si>
  <x:si>
    <x:t xml:space="preserve">Broodmother</x:t>
  </x:si>
  <x:si>
    <x:t xml:space="preserve">Legion Commander</x:t>
  </x:si>
  <x:si>
    <x:t xml:space="preserve">Phantom Lancer</x:t>
  </x:si>
  <x:si>
    <x:t xml:space="preserve">Spectre</x:t>
  </x:si>
  <x:si>
    <x:t xml:space="preserve">Witch Doctor</x:t>
  </x:si>
  <x:si>
    <x:t xml:space="preserve">Wraith King</x:t>
  </x:si>
  <x:si>
    <x:t xml:space="preserve">Axe</x:t>
  </x:si>
  <x:si>
    <x:t xml:space="preserve">Lich</x:t>
  </x:si>
  <x:si>
    <x:t xml:space="preserve">Razor</x:t>
  </x:si>
  <x:si>
    <x:t xml:space="preserve">Meepo</x:t>
  </x:si>
  <x:si>
    <x:t xml:space="preserve">Clinkz</x:t>
  </x:si>
  <x:si>
    <x:t xml:space="preserve">Drow Ranger</x:t>
  </x:si>
  <x:si>
    <x:t xml:space="preserve">Anti-Mage</x:t>
  </x:si>
  <x:si>
    <x:t xml:space="preserve">Necrophos</x:t>
  </x:si>
  <x:si>
    <x:t xml:space="preserve">Shadow Shaman</x:t>
  </x:si>
  <x:si>
    <x:t xml:space="preserve">Dazzle</x:t>
  </x:si>
  <x:si>
    <x:t xml:space="preserve">Omniknight</x:t>
  </x:si>
  <x:si>
    <x:t xml:space="preserve">Nyx Assassin</x:t>
  </x:si>
  <x:si>
    <x:t xml:space="preserve">Vengeful Spirit</x:t>
  </x:si>
  <x:si>
    <x:t xml:space="preserve">Tidehunter</x:t>
  </x:si>
  <x:si>
    <x:t xml:space="preserve">Outworld Destroyer</x:t>
  </x:si>
  <x:si>
    <x:t xml:space="preserve">Skywrath Mage</x:t>
  </x:si>
  <x:si>
    <x:t xml:space="preserve">Invoker</x:t>
  </x:si>
  <x:si>
    <x:t xml:space="preserve">Juggernaut</x:t>
  </x:si>
  <x:si>
    <x:t xml:space="preserve">Chaos Knight</x:t>
  </x:si>
  <x:si>
    <x:t xml:space="preserve">Winter Wyvern</x:t>
  </x:si>
  <x:si>
    <x:t xml:space="preserve">Spirit Breaker</x:t>
  </x:si>
  <x:si>
    <x:t xml:space="preserve">Venomancer</x:t>
  </x:si>
  <x:si>
    <x:t xml:space="preserve">Ogre Magi</x:t>
  </x:si>
  <x:si>
    <x:t xml:space="preserve">Visage</x:t>
  </x:si>
  <x:si>
    <x:t xml:space="preserve">Slardar</x:t>
  </x:si>
  <x:si>
    <x:t xml:space="preserve">Arc Warden</x:t>
  </x:si>
  <x:si>
    <x:t xml:space="preserve">Undying</x:t>
  </x:si>
  <x:si>
    <x:t xml:space="preserve">Riki</x:t>
  </x:si>
  <x:si>
    <x:t xml:space="preserve">Ancient Apparition</x:t>
  </x:si>
  <x:si>
    <x:t xml:space="preserve">Lion</x:t>
  </x:si>
  <x:si>
    <x:t xml:space="preserve">Mirana</x:t>
  </x:si>
  <x:si>
    <x:t xml:space="preserve">Shadow Fiend</x:t>
  </x:si>
  <x:si>
    <x:t xml:space="preserve">Phoenix</x:t>
  </x:si>
  <x:si>
    <x:t xml:space="preserve">Lifestealer</x:t>
  </x:si>
  <x:si>
    <x:t xml:space="preserve">Centaur Warrunner</x:t>
  </x:si>
  <x:si>
    <x:t xml:space="preserve">Clockwerk</x:t>
  </x:si>
  <x:si>
    <x:t xml:space="preserve">Sand King</x:t>
  </x:si>
  <x:si>
    <x:t xml:space="preserve">Alchemist</x:t>
  </x:si>
  <x:si>
    <x:t xml:space="preserve">Medusa</x:t>
  </x:si>
  <x:si>
    <x:t xml:space="preserve">Tinker</x:t>
  </x:si>
  <x:si>
    <x:t xml:space="preserve">Void Spirit</x:t>
  </x:si>
  <x:si>
    <x:t xml:space="preserve">Bounty Hunter</x:t>
  </x:si>
  <x:si>
    <x:t xml:space="preserve">Night Stalker</x:t>
  </x:si>
  <x:si>
    <x:t xml:space="preserve">Weaver</x:t>
  </x:si>
  <x:si>
    <x:t xml:space="preserve">Slark</x:t>
  </x:si>
  <x:si>
    <x:t xml:space="preserve">Io</x:t>
  </x:si>
  <x:si>
    <x:t xml:space="preserve">Abaddon</x:t>
  </x:si>
  <x:si>
    <x:t xml:space="preserve">Viper</x:t>
  </x:si>
  <x:si>
    <x:t xml:space="preserve">Enigma</x:t>
  </x:si>
  <x:si>
    <x:t xml:space="preserve">Warlock</x:t>
  </x:si>
  <x:si>
    <x:t xml:space="preserve">Crystal Maiden</x:t>
  </x:si>
  <x:si>
    <x:t xml:space="preserve">Bloodseeker</x:t>
  </x:si>
  <x:si>
    <x:t xml:space="preserve">Zeus</x:t>
  </x:si>
  <x:si>
    <x:t xml:space="preserve">Troll Warlord</x:t>
  </x:si>
  <x:si>
    <x:t xml:space="preserve">Disruptor</x:t>
  </x:si>
  <x:si>
    <x:t xml:space="preserve">Luna</x:t>
  </x:si>
  <x:si>
    <x:t xml:space="preserve">Underlord</x:t>
  </x:si>
  <x:si>
    <x:t xml:space="preserve">Windranger</x:t>
  </x:si>
  <x:si>
    <x:t xml:space="preserve">Elder Titan</x:t>
  </x:si>
  <x:si>
    <x:t xml:space="preserve">Huskar</x:t>
  </x:si>
  <x:si>
    <x:t xml:space="preserve">Sniper</x:t>
  </x:si>
  <x:si>
    <x:t xml:space="preserve">Naga Siren</x:t>
  </x:si>
  <x:si>
    <x:t xml:space="preserve">Dawnbreaker</x:t>
  </x:si>
  <x:si>
    <x:t xml:space="preserve">Silencer</x:t>
  </x:si>
  <x:si>
    <x:t xml:space="preserve">Ursa</x:t>
  </x:si>
  <x:si>
    <x:t xml:space="preserve">Leshrac</x:t>
  </x:si>
  <x:si>
    <x:t xml:space="preserve">Marci</x:t>
  </x:si>
  <x:si>
    <x:t xml:space="preserve">Lycan</x:t>
  </x:si>
  <x:si>
    <x:t xml:space="preserve">Faceless Void</x:t>
  </x:si>
  <x:si>
    <x:t xml:space="preserve">Kunkka</x:t>
  </x:si>
  <x:si>
    <x:t xml:space="preserve">Queen of Pain</x:t>
  </x:si>
  <x:si>
    <x:t xml:space="preserve">Magnus</x:t>
  </x:si>
  <x:si>
    <x:t xml:space="preserve">Lina</x:t>
  </x:si>
  <x:si>
    <x:t xml:space="preserve">Oracle</x:t>
  </x:si>
  <x:si>
    <x:t xml:space="preserve">Rubick</x:t>
  </x:si>
  <x:si>
    <x:t xml:space="preserve">Enchantress</x:t>
  </x:si>
  <x:si>
    <x:t xml:space="preserve">Techies</x:t>
  </x:si>
  <x:si>
    <x:t xml:space="preserve">Grimstroke</x:t>
  </x:si>
  <x:si>
    <x:t xml:space="preserve">Brewmaster</x:t>
  </x:si>
  <x:si>
    <x:t xml:space="preserve">Phantom Assassin</x:t>
  </x:si>
  <x:si>
    <x:t xml:space="preserve">Dark Willow</x:t>
  </x:si>
  <x:si>
    <x:t xml:space="preserve">Dark Seer</x:t>
  </x:si>
  <x:si>
    <x:t xml:space="preserve">Treant Protector</x:t>
  </x:si>
  <x:si>
    <x:t xml:space="preserve">Earth Spirit</x:t>
  </x:si>
  <x:si>
    <x:t xml:space="preserve">Hoodwink</x:t>
  </x:si>
  <x:si>
    <x:t xml:space="preserve">Jakiro</x:t>
  </x:si>
  <x:si>
    <x:t xml:space="preserve">Sven</x:t>
  </x:si>
  <x:si>
    <x:t xml:space="preserve">Pugna</x:t>
  </x:si>
  <x:si>
    <x:t xml:space="preserve">Bane</x:t>
  </x:si>
  <x:si>
    <x:t xml:space="preserve">Storm Spirit</x:t>
  </x:si>
  <x:si>
    <x:t xml:space="preserve">Keeper of the Light</x:t>
  </x:si>
  <x:si>
    <x:t xml:space="preserve">Earthshaker</x:t>
  </x:si>
  <x:si>
    <x:t xml:space="preserve">Muerta</x:t>
  </x:si>
  <x:si>
    <x:t xml:space="preserve">Puck</x:t>
  </x:si>
  <x:si>
    <x:t xml:space="preserve">Death Prophet</x:t>
  </x:si>
  <x:si>
    <x:t xml:space="preserve">Largo</x:t>
  </x:si>
  <x:si>
    <x:t xml:space="preserve">Primal Beast</x:t>
  </x:si>
  <x:si>
    <x:t xml:space="preserve">Ember Spirit</x:t>
  </x:si>
  <x:si>
    <x:t xml:space="preserve">Tusk</x:t>
  </x:si>
  <x:si>
    <x:t xml:space="preserve">Lone Druid</x:t>
  </x:si>
  <x:si>
    <x:t xml:space="preserve">Templar Assassin</x:t>
  </x:si>
  <x:si>
    <x:t xml:space="preserve">Snapfire</x:t>
  </x:si>
  <x:si>
    <x:t xml:space="preserve">Bristleback</x:t>
  </x:si>
  <x:si>
    <x:t xml:space="preserve">Shadow Demon</x:t>
  </x:si>
  <x:si>
    <x:t xml:space="preserve">Ringmaster</x:t>
  </x:si>
  <x:si>
    <x:t xml:space="preserve">Kez</x:t>
  </x:si>
  <x:si>
    <x:t xml:space="preserve">Dragon Knight</x:t>
  </x:si>
  <x:si>
    <x:t xml:space="preserve">Mars</x:t>
  </x:si>
  <x:si>
    <x:t xml:space="preserve">Morphling</x:t>
  </x:si>
  <x:si>
    <x:t xml:space="preserve">Tiny</x:t>
  </x:si>
  <x:si>
    <x:t xml:space="preserve">Timbersaw</x:t>
  </x:si>
  <x:si>
    <x:t xml:space="preserve">Beastmaster</x:t>
  </x:si>
  <x:si>
    <x:t xml:space="preserve">Gyrocopter</x:t>
  </x:si>
  <x:si>
    <x:t xml:space="preserve">Chen</x:t>
  </x:si>
  <x:si>
    <x:t xml:space="preserve">Batrider</x:t>
  </x:si>
  <x:si>
    <x:t xml:space="preserve">Pangolier</x:t>
  </x:si>
  <x:si>
    <x:t xml:space="preserve">Doom</x:t>
  </x:si>
  <x:si>
    <x:t xml:space="preserve">Terrorblade</x:t>
  </x:si>
  <x:si>
    <x:t xml:space="preserve">Nature's Prophet</x:t>
  </x:si>
  <x:si>
    <x:t xml:space="preserve">Monkey King</x:t>
  </x:si>
  <x:si>
    <x:t xml:space="preserve">Расчеты для работы: пикрейт и винрейт героев Dota 2, патчи 7.40 и 7.41</x:t>
  </x:si>
  <x:si>
    <x:t xml:space="preserve">Описательная статистика</x:t>
  </x:si>
  <x:si>
    <x:t xml:space="preserve">Число героев</x:t>
  </x:si>
  <x:si>
    <x:t xml:space="preserve">Средний пикрейт 7.40, %</x:t>
  </x:si>
  <x:si>
    <x:t xml:space="preserve">Средний пикрейт 7.41, %</x:t>
  </x:si>
  <x:si>
    <x:t xml:space="preserve">Средний винрейт 7.40, %</x:t>
  </x:si>
  <x:si>
    <x:t xml:space="preserve">Средний винрейт 7.41, %</x:t>
  </x:si>
  <x:si>
    <x:t xml:space="preserve">Корреляция пикрейта и винрейта (ранги: 1 = наименьшее значение)</x:t>
  </x:si>
  <x:si>
    <x:t xml:space="preserve">Патч 7.40: коэффициент Спирмена</x:t>
  </x:si>
  <x:si>
    <x:t xml:space="preserve">Патч 7.40: p-значение</x:t>
  </x:si>
  <x:si>
    <x:t xml:space="preserve">Патч 7.40: квадрат коэффициента</x:t>
  </x:si>
  <x:si>
    <x:t xml:space="preserve">Патч 7.41: коэффициент Спирмена</x:t>
  </x:si>
  <x:si>
    <x:t xml:space="preserve">Патч 7.41: p-значение</x:t>
  </x:si>
  <x:si>
    <x:t xml:space="preserve">Патч 7.41: квадрат коэффициента</x:t>
  </x:si>
  <x:si>
    <x:t xml:space="preserve">Изменения между патчами (пикрейт и винрейт): коэффициент Спирмена</x:t>
  </x:si>
  <x:si>
    <x:t xml:space="preserve">Изменения между патчами (пикрейт и винрейт): p-значение</x:t>
  </x:si>
  <x:si>
    <x:t xml:space="preserve">Изменения между патчами (пикрейт и винрейт): квадрат коэффициента</x:t>
  </x:si>
  <x:si>
    <x:t xml:space="preserve">Пикрейт 7.41 и винрейт 7.40: коэффициент Спирмена</x:t>
  </x:si>
  <x:si>
    <x:t xml:space="preserve">Направление изменений</x:t>
  </x:si>
  <x:si>
    <x:t xml:space="preserve">Героев, у которых пикрейт и винрейт изменились в одну сторону</x:t>
  </x:si>
  <x:si>
    <x:t xml:space="preserve">Героев, у которых пикрейт и винрейт изменились в разные стороны</x:t>
  </x:si>
  <x:si>
    <x:t xml:space="preserve">Доля героев с разными направлениями</x:t>
  </x:si>
  <x:si>
    <x:t xml:space="preserve">Средний модуль изменения пикрейта, п. п.</x:t>
  </x:si>
  <x:si>
    <x:t xml:space="preserve">Героев с изменением пикрейта на 2 п. п. и более (по модулю)</x:t>
  </x:si>
  <x:si>
    <x:t xml:space="preserve">Героев, у которых винрейт вырос на 1 п. п. и более</x:t>
  </x:si>
  <x:si>
    <x:t xml:space="preserve">Героев, у которых винрейт снизился на 1 п. п. и более</x:t>
  </x:si>
  <x:si>
    <x:t xml:space="preserve">Среднее изменение пикрейта у первой группы, п. п.</x:t>
  </x:si>
  <x:si>
    <x:t xml:space="preserve">Среднее изменение пикрейта у второй группы, п. п.</x:t>
  </x:si>
  <x:si>
    <x:t xml:space="preserve">Дисперсия изменения пикрейта, первая группа</x:t>
  </x:si>
  <x:si>
    <x:t xml:space="preserve">Дисперсия изменения пикрейта, вторая группа</x:t>
  </x:si>
  <x:si>
    <x:t xml:space="preserve">t-статистика (критерий Уэлча)</x:t>
  </x:si>
  <x:si>
    <x:t xml:space="preserve">Число степеней свободы (Уэлч)</x:t>
  </x:si>
</x:sst>
</file>

<file path=xl/styles.xml><?xml version="1.0" encoding="utf-8"?>
<x:styleSheet xmlns:x="http://schemas.openxmlformats.org/spreadsheetml/2006/main">
  <x:numFmts count="13">
    <x:numFmt numFmtId="164" formatCode="General"/>
    <x:numFmt numFmtId="165" formatCode="0.00"/>
    <x:numFmt numFmtId="166" formatCode="\+0.00;\-0.00;0.00"/>
    <x:numFmt numFmtId="167" formatCode="0.0"/>
    <x:numFmt numFmtId="168" formatCode="0"/>
    <x:numFmt numFmtId="169" formatCode="0.000"/>
    <x:numFmt numFmtId="170" formatCode="0.0000"/>
    <x:numFmt numFmtId="171" formatCode="0.0%"/>
    <x:numFmt numFmtId="172" formatCode="0.0000000"/>
    <x:numFmt numFmtId="200" formatCode="0.000E+00"/>
    <x:numFmt numFmtId="201" formatCode="0.000000"/>
    <x:numFmt numFmtId="202" formatCode="yyyy-mm-dd"/>
    <x:numFmt numFmtId="203" formatCode="hh:mm"/>
  </x:numFmts>
  <x:fonts count="11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name val="Arial"/>
    </x:font>
    <x:font>
      <x:sz val="10"/>
      <x:name val="Arial"/>
    </x:font>
    <x:font>
      <x:sz val="10"/>
      <x:color rgb="FF0000FF"/>
      <x:name val="Arial"/>
    </x:font>
    <x:font>
      <x:b/>
      <x:sz val="11"/>
      <x:name val="Arial"/>
    </x:font>
    <x:font>
      <x:b/>
      <x:sz val="11"/>
      <x:color theme="1"/>
      <x:name val="Calibri"/>
      <x:family val="2"/>
    </x:font>
    <x:font>
      <x:b/>
      <x:sz val="10"/>
      <x:color theme="1"/>
      <x:name val="Calibri"/>
      <x:family val="2"/>
    </x:font>
    <x:font>
      <x:sz val="10"/>
      <x:color theme="1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FFF2CC"/>
      </x:patternFill>
    </x:fill>
  </x:fills>
  <x:borders count="2">
    <x:border diagonalUp="0" diagonalDown="0">
      <x:left/>
      <x:right/>
      <x:top/>
      <x:bottom/>
      <x:diagonal/>
    </x:border>
    <x:border diagonalUp="0" diagonalDown="0"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3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2" borderId="1" xfId="0" applyFont="1" applyBorder="1" applyAlignment="1" applyProtection="0">
      <x:alignment horizontal="center" vertical="center" wrapText="1" shrinkToFit="0"/>
      <x:protection locked="1" hidden="0"/>
    </x:xf>
    <x:xf numFmtId="164" fontId="5" fillId="0" borderId="1" xfId="0" applyFont="1" applyBorder="1" applyAlignment="0" applyProtection="0">
      <x:alignment horizontal="general" vertical="bottom" wrapText="0" shrinkToFit="0"/>
      <x:protection locked="1" hidden="0"/>
    </x:xf>
    <x:xf numFmtId="165" fontId="6" fillId="0" borderId="1" xfId="0" applyFont="1" applyBorder="1" applyAlignment="0" applyProtection="0">
      <x:alignment horizontal="general" vertical="bottom" wrapText="0" shrinkToFit="0"/>
      <x:protection locked="1" hidden="0"/>
    </x:xf>
    <x:xf numFmtId="166" fontId="5" fillId="0" borderId="1" xfId="0" applyFont="1" applyBorder="1" applyAlignment="0" applyProtection="0">
      <x:alignment horizontal="general" vertical="bottom" wrapText="0" shrinkToFit="0"/>
      <x:protection locked="1" hidden="0"/>
    </x:xf>
    <x:xf numFmtId="167" fontId="5" fillId="0" borderId="1" xfId="0" applyFont="1" applyBorder="1" applyAlignment="0" applyProtection="0">
      <x:alignment horizontal="general" vertical="bottom" wrapText="0" shrinkToFit="0"/>
      <x:protection locked="1" hidden="0"/>
    </x:xf>
    <x:xf numFmtId="164" fontId="7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4" fillId="2" borderId="0" xfId="0" applyFont="1" applyBorder="0" applyAlignment="0" applyProtection="0">
      <x:alignment horizontal="general" vertical="bottom" wrapText="0" shrinkToFit="0"/>
      <x:protection locked="1" hidden="0"/>
    </x:xf>
    <x:xf numFmtId="164" fontId="0" fillId="2" borderId="0" xfId="0" applyFont="0" applyBorder="0" applyAlignment="0" applyProtection="0">
      <x:alignment horizontal="general" vertical="bottom" wrapText="0" shrinkToFit="0"/>
      <x:protection locked="1" hidden="0"/>
    </x:xf>
    <x:xf numFmtId="164" fontId="5" fillId="0" borderId="0" xfId="0" applyFont="1" applyBorder="0" applyAlignment="0" applyProtection="0">
      <x:alignment horizontal="general" vertical="bottom" wrapText="0" shrinkToFit="0"/>
      <x:protection locked="1" hidden="0"/>
    </x:xf>
    <x:xf numFmtId="168" fontId="5" fillId="0" borderId="0" xfId="0" applyFont="1" applyBorder="0" applyAlignment="0" applyProtection="0">
      <x:alignment horizontal="general" vertical="bottom" wrapText="0" shrinkToFit="0"/>
      <x:protection locked="1" hidden="0"/>
    </x:xf>
    <x:xf numFmtId="165" fontId="5" fillId="0" borderId="0" xfId="0" applyFont="1" applyBorder="0" applyAlignment="0" applyProtection="0">
      <x:alignment horizontal="general" vertical="bottom" wrapText="0" shrinkToFit="0"/>
      <x:protection locked="1" hidden="0"/>
    </x:xf>
    <x:xf numFmtId="169" fontId="5" fillId="0" borderId="0" xfId="0" applyFont="1" applyBorder="0" applyAlignment="0" applyProtection="0">
      <x:alignment horizontal="general" vertical="bottom" wrapText="0" shrinkToFit="0"/>
      <x:protection locked="1" hidden="0"/>
    </x:xf>
    <x:xf numFmtId="170" fontId="5" fillId="0" borderId="0" xfId="0" applyFont="1" applyBorder="0" applyAlignment="0" applyProtection="0">
      <x:alignment horizontal="general" vertical="bottom" wrapText="0" shrinkToFit="0"/>
      <x:protection locked="1" hidden="0"/>
    </x:xf>
    <x:xf numFmtId="171" fontId="5" fillId="0" borderId="0" xfId="0" applyFont="1" applyBorder="0" applyAlignment="0" applyProtection="0">
      <x:alignment horizontal="general" vertical="bottom" wrapText="0" shrinkToFit="0"/>
      <x:protection locked="1" hidden="0"/>
    </x:xf>
    <x:xf numFmtId="167" fontId="5" fillId="0" borderId="0" xfId="0" applyFont="1" applyBorder="0" applyAlignment="0" applyProtection="0">
      <x:alignment horizontal="general" vertical="bottom" wrapText="0" shrinkToFit="0"/>
      <x:protection locked="1" hidden="0"/>
    </x:xf>
    <x:xf numFmtId="172" fontId="5" fillId="0" borderId="0" xfId="0" applyFont="1" applyBorder="0" applyAlignment="0" applyProtection="0">
      <x:alignment horizontal="general" vertical="bottom" wrapText="0" shrinkToFit="0"/>
      <x:protection locked="1" hidden="0"/>
    </x:xf>
    <x:xf numFmtId="200" fontId="1" fillId="0" borderId="0" xfId="0" applyNumberFormat="1" applyFont="1" applyFill="1" applyBorder="1" applyAlignment="1">
      <x:alignment horizontal="general" vertical="bottom" wrapText="0"/>
    </x:xf>
    <x:xf numFmtId="200" fontId="0" fillId="0" borderId="0" xfId="0" applyNumberFormat="1" applyFont="1" applyFill="1" applyBorder="1" applyAlignment="1">
      <x:alignment horizontal="general" vertical="bottom" wrapText="0"/>
    </x:xf>
    <x:xf numFmtId="164" fontId="1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201" fontId="1" fillId="0" borderId="0" xfId="0" applyNumberFormat="1" applyFont="1" applyFill="1" applyBorder="1" applyAlignment="1">
      <x:alignment horizontal="general" vertical="bottom" wrapText="0"/>
    </x:xf>
    <x:xf numFmtId="202" fontId="0" fillId="0" borderId="0" xfId="0" applyNumberFormat="1" applyFont="1" applyFill="1" applyBorder="1" applyAlignment="1">
      <x:alignment horizontal="general" vertical="bottom" wrapText="0"/>
    </x:xf>
    <x:xf numFmtId="203" fontId="0" fillId="0" borderId="0" xfId="0" applyNumberFormat="1" applyFont="1" applyFill="1" applyBorder="1" applyAlignment="1">
      <x:alignment horizontal="general" vertical="bottom" wrapText="0"/>
    </x:xf>
    <x:xf numFmtId="202" fontId="0" fillId="0" borderId="0" xfId="0" applyNumberFormat="1" applyFont="1" applyFill="1" applyBorder="1" applyAlignment="1">
      <x:alignment horizontal="general" vertical="bottom" wrapText="1"/>
    </x:xf>
    <x:xf numFmtId="203" fontId="0" fillId="0" borderId="0" xfId="0" applyNumberFormat="1" applyFont="1" applyFill="1" applyBorder="1" applyAlignment="1">
      <x:alignment horizontal="general" vertical="bottom" wrapText="1"/>
    </x:xf>
    <x:xf numFmtId="164" fontId="0" fillId="3" borderId="0" xfId="0" applyNumberFormat="1" applyFont="1" applyFill="1" applyBorder="1" applyAlignment="1">
      <x:alignment horizontal="general" vertical="bottom" wrapText="1"/>
    </x:xf>
    <x:xf numFmtId="164" fontId="8" fillId="3" borderId="0" xfId="0" applyNumberFormat="1" applyFont="1" applyFill="1" applyBorder="1" applyAlignment="1">
      <x:alignment horizontal="general" vertical="bottom" wrapText="1"/>
    </x:xf>
    <x:xf numFmtId="164" fontId="9" fillId="3" borderId="0" xfId="0" applyNumberFormat="1" applyFont="1" applyFill="1" applyBorder="1" applyAlignment="1">
      <x:alignment horizontal="general" vertical="bottom" wrapText="1"/>
    </x:xf>
    <x:xf numFmtId="164" fontId="10" fillId="0" borderId="0" xfId="0" applyNumberFormat="1" applyFont="1" applyFill="1" applyBorder="1" applyAlignment="1">
      <x:alignment horizontal="general" vertical="bottom" wrapText="1"/>
    </x:xf>
    <x:xf numFmtId="202" fontId="10" fillId="0" borderId="0" xfId="0" applyNumberFormat="1" applyFont="1" applyFill="1" applyBorder="1" applyAlignment="1">
      <x:alignment horizontal="general" vertical="bottom" wrapText="1"/>
    </x:xf>
    <x:xf numFmtId="203" fontId="10" fillId="0" borderId="0" xfId="0" applyNumberFormat="1" applyFont="1" applyFill="1" applyBorder="1" applyAlignment="1">
      <x:alignment horizontal="general" vertical="bottom" wrapText="1"/>
    </x:xf>
    <x:xf numFmtId="164" fontId="10" fillId="4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99999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f20dd0b9f7423f" /><Relationship Type="http://schemas.openxmlformats.org/officeDocument/2006/relationships/theme" Target="/xl/theme/theme1.xml" Id="R4f30d1cffadb48e9" /><Relationship Type="http://schemas.openxmlformats.org/officeDocument/2006/relationships/sharedStrings" Target="/xl/sharedStrings.xml" Id="R96b75201bde04535" /><Relationship Type="http://schemas.openxmlformats.org/officeDocument/2006/relationships/worksheet" Target="/xl/worksheets/sheet1.xml" Id="Rbe1aaf24aeac42b1" /><Relationship Type="http://schemas.openxmlformats.org/officeDocument/2006/relationships/worksheet" Target="/xl/worksheets/sheet2.xml" Id="R018c950dcbb44ab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ColWidth="8.6796875" defaultRowHeight="15"/>
  <x:cols>
    <x:col min="1" max="1" width="22" hidden="0" customWidth="1"/>
    <x:col min="2" max="5" width="12" hidden="0" customWidth="1"/>
    <x:col min="6" max="7" width="15" hidden="0" customWidth="1"/>
    <x:col min="8" max="11" width="11" hidden="0" customWidth="1"/>
    <x:col min="12" max="13" width="13" hidden="0" customWidth="1"/>
    <x:col min="14" max="14" width="18" hidden="0" customWidth="1"/>
    <x:col min="16" max="16" width="33" hidden="0" customWidth="1"/>
    <x:col min="17" max="17" width="72" hidden="0" customWidth="1"/>
  </x:cols>
  <x:sheetData>
    <x:row r="1" ht="35" hidden="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P1" s="28" t="str">
        <x:v>Метаданные сохранённого набора</x:v>
      </x:c>
      <x:c r="Q1" s="28" t="str">
        <x:v>Значение</x:v>
      </x:c>
    </x:row>
    <x:row r="2" ht="35" hidden="0" customHeight="1">
      <x:c r="A2" s="2" t="s">
        <x:v>14</x:v>
      </x:c>
      <x:c r="B2" s="3" t="n">
        <x:v>26.11</x:v>
      </x:c>
      <x:c r="C2" s="3" t="n">
        <x:v>51.82</x:v>
      </x:c>
      <x:c r="D2" s="3" t="n">
        <x:v>27.5</x:v>
      </x:c>
      <x:c r="E2" s="3" t="n">
        <x:v>50.94</x:v>
      </x:c>
      <x:c r="F2" s="4" t="n">
        <x:f aca="0">ROUND(D2-B2,2)</x:f>
        <x:v>1.39</x:v>
      </x:c>
      <x:c r="G2" s="4" t="n">
        <x:f aca="0">ROUND(E2-C2,2)</x:f>
        <x:v>-0.88</x:v>
      </x:c>
      <x:c r="H2" s="5" t="n">
        <x:f aca="0">RANK(B2,B$2:B$128,1)+(COUNTIF(B$2:B$128,B2)-1)/2</x:f>
        <x:v>127</x:v>
      </x:c>
      <x:c r="I2" s="5" t="n">
        <x:f aca="0">RANK(C2,C$2:C$128,1)+(COUNTIF(C$2:C$128,C2)-1)/2</x:f>
        <x:v>107.5</x:v>
      </x:c>
      <x:c r="J2" s="5" t="n">
        <x:f aca="0">RANK(D2,D$2:D$128,1)+(COUNTIF(D$2:D$128,D2)-1)/2</x:f>
        <x:v>127</x:v>
      </x:c>
      <x:c r="K2" s="5" t="n">
        <x:f aca="0">RANK(E2,E$2:E$128,1)+(COUNTIF(E$2:E$128,E2)-1)/2</x:f>
        <x:v>94</x:v>
      </x:c>
      <x:c r="L2" s="5" t="n">
        <x:f aca="0">RANK(F2,F$2:F$128,1)+(COUNTIF(F$2:F$128,F2)-1)/2</x:f>
        <x:v>94</x:v>
      </x:c>
      <x:c r="M2" s="5" t="n">
        <x:f aca="0">RANK(G2,G$2:G$128,1)+(COUNTIF(G$2:G$128,G2)-1)/2</x:f>
        <x:v>39</x:v>
      </x:c>
      <x:c r="N2" s="2" t="str">
        <x:f aca="0">IF(G2&gt;=1,"вырос",IF(G2&lt;=-1,"снизился","мало изменился"))</x:f>
        <x:v>мало изменился</x:v>
      </x:c>
      <x:c r="P2" s="29" t="str">
        <x:v>Дата выгрузки со слов автора</x:v>
      </x:c>
      <x:c r="Q2" s="30" t="n">
        <x:v>46323</x:v>
      </x:c>
    </x:row>
    <x:row r="3" ht="35" hidden="0" customHeight="1">
      <x:c r="A3" s="2" t="s">
        <x:v>15</x:v>
      </x:c>
      <x:c r="B3" s="3" t="n">
        <x:v>5.48</x:v>
      </x:c>
      <x:c r="C3" s="3" t="n">
        <x:v>53.3</x:v>
      </x:c>
      <x:c r="D3" s="3" t="n">
        <x:v>2.79</x:v>
      </x:c>
      <x:c r="E3" s="3" t="n">
        <x:v>50.03</x:v>
      </x:c>
      <x:c r="F3" s="4" t="n">
        <x:f aca="0">ROUND(D3-B3,2)</x:f>
        <x:v>-2.69</x:v>
      </x:c>
      <x:c r="G3" s="4" t="n">
        <x:f aca="0">ROUND(E3-C3,2)</x:f>
        <x:v>-3.27</x:v>
      </x:c>
      <x:c r="H3" s="5" t="n">
        <x:f aca="0">RANK(B3,B$2:B$128,1)+(COUNTIF(B$2:B$128,B3)-1)/2</x:f>
        <x:v>53</x:v>
      </x:c>
      <x:c r="I3" s="5" t="n">
        <x:f aca="0">RANK(C3,C$2:C$128,1)+(COUNTIF(C$2:C$128,C3)-1)/2</x:f>
        <x:v>125</x:v>
      </x:c>
      <x:c r="J3" s="5" t="n">
        <x:f aca="0">RANK(D3,D$2:D$128,1)+(COUNTIF(D$2:D$128,D3)-1)/2</x:f>
        <x:v>14.5</x:v>
      </x:c>
      <x:c r="K3" s="5" t="n">
        <x:f aca="0">RANK(E3,E$2:E$128,1)+(COUNTIF(E$2:E$128,E3)-1)/2</x:f>
        <x:v>69</x:v>
      </x:c>
      <x:c r="L3" s="5" t="n">
        <x:f aca="0">RANK(F3,F$2:F$128,1)+(COUNTIF(F$2:F$128,F3)-1)/2</x:f>
        <x:v>11</x:v>
      </x:c>
      <x:c r="M3" s="5" t="n">
        <x:f aca="0">RANK(G3,G$2:G$128,1)+(COUNTIF(G$2:G$128,G3)-1)/2</x:f>
        <x:v>2</x:v>
      </x:c>
      <x:c r="N3" s="2" t="str">
        <x:f aca="0">IF(G3&gt;=1,"вырос",IF(G3&lt;=-1,"снизился","мало изменился"))</x:f>
        <x:v>снизился</x:v>
      </x:c>
      <x:c r="P3" s="29" t="str">
        <x:v>Время со слов автора (до минуты)</x:v>
      </x:c>
      <x:c r="Q3" s="31" t="n">
        <x:v>0.8138888888888889</x:v>
      </x:c>
    </x:row>
    <x:row r="4" ht="35" hidden="0" customHeight="1">
      <x:c r="A4" s="2" t="s">
        <x:v>16</x:v>
      </x:c>
      <x:c r="B4" s="3" t="n">
        <x:v>15.9</x:v>
      </x:c>
      <x:c r="C4" s="3" t="n">
        <x:v>52.99</x:v>
      </x:c>
      <x:c r="D4" s="3" t="n">
        <x:v>14.63</x:v>
      </x:c>
      <x:c r="E4" s="3" t="n">
        <x:v>52.89</x:v>
      </x:c>
      <x:c r="F4" s="4" t="n">
        <x:f aca="0">ROUND(D4-B4,2)</x:f>
        <x:v>-1.27</x:v>
      </x:c>
      <x:c r="G4" s="4" t="n">
        <x:f aca="0">ROUND(E4-C4,2)</x:f>
        <x:v>-0.1</x:v>
      </x:c>
      <x:c r="H4" s="5" t="n">
        <x:f aca="0">RANK(B4,B$2:B$128,1)+(COUNTIF(B$2:B$128,B4)-1)/2</x:f>
        <x:v>118</x:v>
      </x:c>
      <x:c r="I4" s="5" t="n">
        <x:f aca="0">RANK(C4,C$2:C$128,1)+(COUNTIF(C$2:C$128,C4)-1)/2</x:f>
        <x:v>123.5</x:v>
      </x:c>
      <x:c r="J4" s="5" t="n">
        <x:f aca="0">RANK(D4,D$2:D$128,1)+(COUNTIF(D$2:D$128,D4)-1)/2</x:f>
        <x:v>112</x:v>
      </x:c>
      <x:c r="K4" s="5" t="n">
        <x:f aca="0">RANK(E4,E$2:E$128,1)+(COUNTIF(E$2:E$128,E4)-1)/2</x:f>
        <x:v>123</x:v>
      </x:c>
      <x:c r="L4" s="5" t="n">
        <x:f aca="0">RANK(F4,F$2:F$128,1)+(COUNTIF(F$2:F$128,F4)-1)/2</x:f>
        <x:v>32</x:v>
      </x:c>
      <x:c r="M4" s="5" t="n">
        <x:f aca="0">RANK(G4,G$2:G$128,1)+(COUNTIF(G$2:G$128,G4)-1)/2</x:f>
        <x:v>70</x:v>
      </x:c>
      <x:c r="N4" s="2" t="str">
        <x:f aca="0">IF(G4&gt;=1,"вырос",IF(G4&lt;=-1,"снизился","мало изменился"))</x:f>
        <x:v>мало изменился</x:v>
      </x:c>
      <x:c r="P4" s="29" t="str">
        <x:v>Секунды выгрузки</x:v>
      </x:c>
      <x:c r="Q4" s="29" t="str">
        <x:v>Не зафиксированы</x:v>
      </x:c>
    </x:row>
    <x:row r="5" ht="35" hidden="0" customHeight="1">
      <x:c r="A5" s="2" t="s">
        <x:v>17</x:v>
      </x:c>
      <x:c r="B5" s="3" t="n">
        <x:v>8.35</x:v>
      </x:c>
      <x:c r="C5" s="3" t="n">
        <x:v>52.62</x:v>
      </x:c>
      <x:c r="D5" s="3" t="n">
        <x:v>11.56</x:v>
      </x:c>
      <x:c r="E5" s="3" t="n">
        <x:v>53.12</x:v>
      </x:c>
      <x:c r="F5" s="4" t="n">
        <x:f aca="0">ROUND(D5-B5,2)</x:f>
        <x:v>3.21</x:v>
      </x:c>
      <x:c r="G5" s="4" t="n">
        <x:f aca="0">ROUND(E5-C5,2)</x:f>
        <x:v>0.5</x:v>
      </x:c>
      <x:c r="H5" s="5" t="n">
        <x:f aca="0">RANK(B5,B$2:B$128,1)+(COUNTIF(B$2:B$128,B5)-1)/2</x:f>
        <x:v>80.5</x:v>
      </x:c>
      <x:c r="I5" s="5" t="n">
        <x:f aca="0">RANK(C5,C$2:C$128,1)+(COUNTIF(C$2:C$128,C5)-1)/2</x:f>
        <x:v>118</x:v>
      </x:c>
      <x:c r="J5" s="5" t="n">
        <x:f aca="0">RANK(D5,D$2:D$128,1)+(COUNTIF(D$2:D$128,D5)-1)/2</x:f>
        <x:v>98.5</x:v>
      </x:c>
      <x:c r="K5" s="5" t="n">
        <x:f aca="0">RANK(E5,E$2:E$128,1)+(COUNTIF(E$2:E$128,E5)-1)/2</x:f>
        <x:v>125</x:v>
      </x:c>
      <x:c r="L5" s="5" t="n">
        <x:f aca="0">RANK(F5,F$2:F$128,1)+(COUNTIF(F$2:F$128,F5)-1)/2</x:f>
        <x:v>118</x:v>
      </x:c>
      <x:c r="M5" s="5" t="n">
        <x:f aca="0">RANK(G5,G$2:G$128,1)+(COUNTIF(G$2:G$128,G5)-1)/2</x:f>
        <x:v>88.5</x:v>
      </x:c>
      <x:c r="N5" s="2" t="str">
        <x:f aca="0">IF(G5&gt;=1,"вырос",IF(G5&lt;=-1,"снизился","мало изменился"))</x:f>
        <x:v>мало изменился</x:v>
      </x:c>
      <x:c r="P5" s="29" t="str">
        <x:v>Часовой пояс выгрузки</x:v>
      </x:c>
      <x:c r="Q5" s="29" t="str">
        <x:v>Не зафиксирован</x:v>
      </x:c>
    </x:row>
    <x:row r="6" ht="35" hidden="0" customHeight="1">
      <x:c r="A6" s="2" t="s">
        <x:v>18</x:v>
      </x:c>
      <x:c r="B6" s="3" t="n">
        <x:v>8.24</x:v>
      </x:c>
      <x:c r="C6" s="3" t="n">
        <x:v>53.31</x:v>
      </x:c>
      <x:c r="D6" s="3" t="n">
        <x:v>11.16</x:v>
      </x:c>
      <x:c r="E6" s="3" t="n">
        <x:v>54.15</x:v>
      </x:c>
      <x:c r="F6" s="4" t="n">
        <x:f aca="0">ROUND(D6-B6,2)</x:f>
        <x:v>2.92</x:v>
      </x:c>
      <x:c r="G6" s="4" t="n">
        <x:f aca="0">ROUND(E6-C6,2)</x:f>
        <x:v>0.84</x:v>
      </x:c>
      <x:c r="H6" s="5" t="n">
        <x:f aca="0">RANK(B6,B$2:B$128,1)+(COUNTIF(B$2:B$128,B6)-1)/2</x:f>
        <x:v>79</x:v>
      </x:c>
      <x:c r="I6" s="5" t="n">
        <x:f aca="0">RANK(C6,C$2:C$128,1)+(COUNTIF(C$2:C$128,C6)-1)/2</x:f>
        <x:v>126</x:v>
      </x:c>
      <x:c r="J6" s="5" t="n">
        <x:f aca="0">RANK(D6,D$2:D$128,1)+(COUNTIF(D$2:D$128,D6)-1)/2</x:f>
        <x:v>97</x:v>
      </x:c>
      <x:c r="K6" s="5" t="n">
        <x:f aca="0">RANK(E6,E$2:E$128,1)+(COUNTIF(E$2:E$128,E6)-1)/2</x:f>
        <x:v>126</x:v>
      </x:c>
      <x:c r="L6" s="5" t="n">
        <x:f aca="0">RANK(F6,F$2:F$128,1)+(COUNTIF(F$2:F$128,F6)-1)/2</x:f>
        <x:v>114</x:v>
      </x:c>
      <x:c r="M6" s="5" t="n">
        <x:f aca="0">RANK(G6,G$2:G$128,1)+(COUNTIF(G$2:G$128,G6)-1)/2</x:f>
        <x:v>94</x:v>
      </x:c>
      <x:c r="N6" s="2" t="str">
        <x:f aca="0">IF(G6&gt;=1,"вырос",IF(G6&lt;=-1,"снизился","мало изменился"))</x:f>
        <x:v>мало изменился</x:v>
      </x:c>
      <x:c r="P6" s="29" t="str">
        <x:v>Заявленный источник в Word</x:v>
      </x:c>
      <x:c r="Q6" s="29" t="str">
        <x:v>Dotabuff</x:v>
      </x:c>
    </x:row>
    <x:row r="7" ht="35" hidden="0" customHeight="1">
      <x:c r="A7" s="2" t="s">
        <x:v>19</x:v>
      </x:c>
      <x:c r="B7" s="3" t="n">
        <x:v>18.26</x:v>
      </x:c>
      <x:c r="C7" s="3" t="n">
        <x:v>52.42</x:v>
      </x:c>
      <x:c r="D7" s="3" t="n">
        <x:v>15.78</x:v>
      </x:c>
      <x:c r="E7" s="3" t="n">
        <x:v>51.65</x:v>
      </x:c>
      <x:c r="F7" s="4" t="n">
        <x:f aca="0">ROUND(D7-B7,2)</x:f>
        <x:v>-2.48</x:v>
      </x:c>
      <x:c r="G7" s="4" t="n">
        <x:f aca="0">ROUND(E7-C7,2)</x:f>
        <x:v>-0.77</x:v>
      </x:c>
      <x:c r="H7" s="5" t="n">
        <x:f aca="0">RANK(B7,B$2:B$128,1)+(COUNTIF(B$2:B$128,B7)-1)/2</x:f>
        <x:v>122</x:v>
      </x:c>
      <x:c r="I7" s="5" t="n">
        <x:f aca="0">RANK(C7,C$2:C$128,1)+(COUNTIF(C$2:C$128,C7)-1)/2</x:f>
        <x:v>115.5</x:v>
      </x:c>
      <x:c r="J7" s="5" t="n">
        <x:f aca="0">RANK(D7,D$2:D$128,1)+(COUNTIF(D$2:D$128,D7)-1)/2</x:f>
        <x:v>119</x:v>
      </x:c>
      <x:c r="K7" s="5" t="n">
        <x:f aca="0">RANK(E7,E$2:E$128,1)+(COUNTIF(E$2:E$128,E7)-1)/2</x:f>
        <x:v>105</x:v>
      </x:c>
      <x:c r="L7" s="5" t="n">
        <x:f aca="0">RANK(F7,F$2:F$128,1)+(COUNTIF(F$2:F$128,F7)-1)/2</x:f>
        <x:v>13</x:v>
      </x:c>
      <x:c r="M7" s="5" t="n">
        <x:f aca="0">RANK(G7,G$2:G$128,1)+(COUNTIF(G$2:G$128,G7)-1)/2</x:f>
        <x:v>43</x:v>
      </x:c>
      <x:c r="N7" s="2" t="str">
        <x:f aca="0">IF(G7&gt;=1,"вырос",IF(G7&lt;=-1,"снизился","мало изменился"))</x:f>
        <x:v>мало изменился</x:v>
      </x:c>
      <x:c r="P7" s="29" t="str">
        <x:v>Адрес заявленного источника</x:v>
      </x:c>
      <x:c r="Q7" s="29" t="str">
        <x:v>https://www.dotabuff.com/heroes</x:v>
      </x:c>
    </x:row>
    <x:row r="8" ht="35" hidden="0" customHeight="1">
      <x:c r="A8" s="2" t="s">
        <x:v>20</x:v>
      </x:c>
      <x:c r="B8" s="3" t="n">
        <x:v>9.81</x:v>
      </x:c>
      <x:c r="C8" s="3" t="n">
        <x:v>53.48</x:v>
      </x:c>
      <x:c r="D8" s="3" t="n">
        <x:v>11.78</x:v>
      </x:c>
      <x:c r="E8" s="3" t="n">
        <x:v>54.53</x:v>
      </x:c>
      <x:c r="F8" s="4" t="n">
        <x:f aca="0">ROUND(D8-B8,2)</x:f>
        <x:v>1.97</x:v>
      </x:c>
      <x:c r="G8" s="4" t="n">
        <x:f aca="0">ROUND(E8-C8,2)</x:f>
        <x:v>1.05</x:v>
      </x:c>
      <x:c r="H8" s="5" t="n">
        <x:f aca="0">RANK(B8,B$2:B$128,1)+(COUNTIF(B$2:B$128,B8)-1)/2</x:f>
        <x:v>91</x:v>
      </x:c>
      <x:c r="I8" s="5" t="n">
        <x:f aca="0">RANK(C8,C$2:C$128,1)+(COUNTIF(C$2:C$128,C8)-1)/2</x:f>
        <x:v>127</x:v>
      </x:c>
      <x:c r="J8" s="5" t="n">
        <x:f aca="0">RANK(D8,D$2:D$128,1)+(COUNTIF(D$2:D$128,D8)-1)/2</x:f>
        <x:v>101</x:v>
      </x:c>
      <x:c r="K8" s="5" t="n">
        <x:f aca="0">RANK(E8,E$2:E$128,1)+(COUNTIF(E$2:E$128,E8)-1)/2</x:f>
        <x:v>127</x:v>
      </x:c>
      <x:c r="L8" s="5" t="n">
        <x:f aca="0">RANK(F8,F$2:F$128,1)+(COUNTIF(F$2:F$128,F8)-1)/2</x:f>
        <x:v>105.5</x:v>
      </x:c>
      <x:c r="M8" s="5" t="n">
        <x:f aca="0">RANK(G8,G$2:G$128,1)+(COUNTIF(G$2:G$128,G8)-1)/2</x:f>
        <x:v>102</x:v>
      </x:c>
      <x:c r="N8" s="2" t="str">
        <x:f aca="0">IF(G8&gt;=1,"вырос",IF(G8&lt;=-1,"снизился","мало изменился"))</x:f>
        <x:v>вырос</x:v>
      </x:c>
      <x:c r="P8" s="29" t="str">
        <x:v>Режим по описанию автора</x:v>
      </x:c>
      <x:c r="Q8" s="29" t="str">
        <x:v>All Pick</x:v>
      </x:c>
    </x:row>
    <x:row r="9" ht="35" hidden="0" customHeight="1">
      <x:c r="A9" s="2" t="s">
        <x:v>21</x:v>
      </x:c>
      <x:c r="B9" s="3" t="n">
        <x:v>18.11</x:v>
      </x:c>
      <x:c r="C9" s="3" t="n">
        <x:v>51.51</x:v>
      </x:c>
      <x:c r="D9" s="3" t="n">
        <x:v>17.74</x:v>
      </x:c>
      <x:c r="E9" s="3" t="n">
        <x:v>51.79</x:v>
      </x:c>
      <x:c r="F9" s="4" t="n">
        <x:f aca="0">ROUND(D9-B9,2)</x:f>
        <x:v>-0.37</x:v>
      </x:c>
      <x:c r="G9" s="4" t="n">
        <x:f aca="0">ROUND(E9-C9,2)</x:f>
        <x:v>0.28</x:v>
      </x:c>
      <x:c r="H9" s="5" t="n">
        <x:f aca="0">RANK(B9,B$2:B$128,1)+(COUNTIF(B$2:B$128,B9)-1)/2</x:f>
        <x:v>120</x:v>
      </x:c>
      <x:c r="I9" s="5" t="n">
        <x:f aca="0">RANK(C9,C$2:C$128,1)+(COUNTIF(C$2:C$128,C9)-1)/2</x:f>
        <x:v>105</x:v>
      </x:c>
      <x:c r="J9" s="5" t="n">
        <x:f aca="0">RANK(D9,D$2:D$128,1)+(COUNTIF(D$2:D$128,D9)-1)/2</x:f>
        <x:v>122</x:v>
      </x:c>
      <x:c r="K9" s="5" t="n">
        <x:f aca="0">RANK(E9,E$2:E$128,1)+(COUNTIF(E$2:E$128,E9)-1)/2</x:f>
        <x:v>110</x:v>
      </x:c>
      <x:c r="L9" s="5" t="n">
        <x:f aca="0">RANK(F9,F$2:F$128,1)+(COUNTIF(F$2:F$128,F9)-1)/2</x:f>
        <x:v>54</x:v>
      </x:c>
      <x:c r="M9" s="5" t="n">
        <x:f aca="0">RANK(G9,G$2:G$128,1)+(COUNTIF(G$2:G$128,G9)-1)/2</x:f>
        <x:v>77</x:v>
      </x:c>
      <x:c r="N9" s="2" t="str">
        <x:f aca="0">IF(G9&gt;=1,"вырос",IF(G9&lt;=-1,"снизился","мало изменился"))</x:f>
        <x:v>мало изменился</x:v>
      </x:c>
      <x:c r="P9" s="29" t="str">
        <x:v>Ранги по описанию автора</x:v>
      </x:c>
      <x:c r="Q9" s="29" t="str">
        <x:v>Все ранги</x:v>
      </x:c>
    </x:row>
    <x:row r="10" ht="35" hidden="0" customHeight="1">
      <x:c r="A10" s="2" t="s">
        <x:v>22</x:v>
      </x:c>
      <x:c r="B10" s="3" t="n">
        <x:v>12.9</x:v>
      </x:c>
      <x:c r="C10" s="3" t="n">
        <x:v>52.99</x:v>
      </x:c>
      <x:c r="D10" s="3" t="n">
        <x:v>11.1</x:v>
      </x:c>
      <x:c r="E10" s="3" t="n">
        <x:v>52.23</x:v>
      </x:c>
      <x:c r="F10" s="4" t="n">
        <x:f aca="0">ROUND(D10-B10,2)</x:f>
        <x:v>-1.8</x:v>
      </x:c>
      <x:c r="G10" s="4" t="n">
        <x:f aca="0">ROUND(E10-C10,2)</x:f>
        <x:v>-0.76</x:v>
      </x:c>
      <x:c r="H10" s="5" t="n">
        <x:f aca="0">RANK(B10,B$2:B$128,1)+(COUNTIF(B$2:B$128,B10)-1)/2</x:f>
        <x:v>107</x:v>
      </x:c>
      <x:c r="I10" s="5" t="n">
        <x:f aca="0">RANK(C10,C$2:C$128,1)+(COUNTIF(C$2:C$128,C10)-1)/2</x:f>
        <x:v>123.5</x:v>
      </x:c>
      <x:c r="J10" s="5" t="n">
        <x:f aca="0">RANK(D10,D$2:D$128,1)+(COUNTIF(D$2:D$128,D10)-1)/2</x:f>
        <x:v>96</x:v>
      </x:c>
      <x:c r="K10" s="5" t="n">
        <x:f aca="0">RANK(E10,E$2:E$128,1)+(COUNTIF(E$2:E$128,E10)-1)/2</x:f>
        <x:v>119</x:v>
      </x:c>
      <x:c r="L10" s="5" t="n">
        <x:f aca="0">RANK(F10,F$2:F$128,1)+(COUNTIF(F$2:F$128,F10)-1)/2</x:f>
        <x:v>21</x:v>
      </x:c>
      <x:c r="M10" s="5" t="n">
        <x:f aca="0">RANK(G10,G$2:G$128,1)+(COUNTIF(G$2:G$128,G10)-1)/2</x:f>
        <x:v>44</x:v>
      </x:c>
      <x:c r="N10" s="2" t="str">
        <x:f aca="0">IF(G10&gt;=1,"вырос",IF(G10&lt;=-1,"снизился","мало изменился"))</x:f>
        <x:v>мало изменился</x:v>
      </x:c>
      <x:c r="P10" s="29" t="str">
        <x:v>Период статистики 7.40</x:v>
      </x:c>
      <x:c r="Q10" s="32" t="str">
        <x:v>Календарные границы не сохранены</x:v>
      </x:c>
    </x:row>
    <x:row r="11" ht="35" hidden="0" customHeight="1">
      <x:c r="A11" s="2" t="s">
        <x:v>23</x:v>
      </x:c>
      <x:c r="B11" s="3" t="n">
        <x:v>10.26</x:v>
      </x:c>
      <x:c r="C11" s="3" t="n">
        <x:v>52.88</x:v>
      </x:c>
      <x:c r="D11" s="3" t="n">
        <x:v>5.69</x:v>
      </x:c>
      <x:c r="E11" s="3" t="n">
        <x:v>49.95</x:v>
      </x:c>
      <x:c r="F11" s="4" t="n">
        <x:f aca="0">ROUND(D11-B11,2)</x:f>
        <x:v>-4.57</x:v>
      </x:c>
      <x:c r="G11" s="4" t="n">
        <x:f aca="0">ROUND(E11-C11,2)</x:f>
        <x:v>-2.93</x:v>
      </x:c>
      <x:c r="H11" s="5" t="n">
        <x:f aca="0">RANK(B11,B$2:B$128,1)+(COUNTIF(B$2:B$128,B11)-1)/2</x:f>
        <x:v>95</x:v>
      </x:c>
      <x:c r="I11" s="5" t="n">
        <x:f aca="0">RANK(C11,C$2:C$128,1)+(COUNTIF(C$2:C$128,C11)-1)/2</x:f>
        <x:v>122</x:v>
      </x:c>
      <x:c r="J11" s="5" t="n">
        <x:f aca="0">RANK(D11,D$2:D$128,1)+(COUNTIF(D$2:D$128,D11)-1)/2</x:f>
        <x:v>58</x:v>
      </x:c>
      <x:c r="K11" s="5" t="n">
        <x:f aca="0">RANK(E11,E$2:E$128,1)+(COUNTIF(E$2:E$128,E11)-1)/2</x:f>
        <x:v>66</x:v>
      </x:c>
      <x:c r="L11" s="5" t="n">
        <x:f aca="0">RANK(F11,F$2:F$128,1)+(COUNTIF(F$2:F$128,F11)-1)/2</x:f>
        <x:v>5</x:v>
      </x:c>
      <x:c r="M11" s="5" t="n">
        <x:f aca="0">RANK(G11,G$2:G$128,1)+(COUNTIF(G$2:G$128,G11)-1)/2</x:f>
        <x:v>4</x:v>
      </x:c>
      <x:c r="N11" s="2" t="str">
        <x:f aca="0">IF(G11&gt;=1,"вырос",IF(G11&lt;=-1,"снизился","мало изменился"))</x:f>
        <x:v>снизился</x:v>
      </x:c>
      <x:c r="P11" s="29" t="str">
        <x:v>Период статистики 7.41</x:v>
      </x:c>
      <x:c r="Q11" s="32" t="str">
        <x:v>Календарные границы не сохранены</x:v>
      </x:c>
    </x:row>
    <x:row r="12" ht="35" hidden="0" customHeight="1">
      <x:c r="A12" s="2" t="s">
        <x:v>24</x:v>
      </x:c>
      <x:c r="B12" s="3" t="n">
        <x:v>2.42</x:v>
      </x:c>
      <x:c r="C12" s="3" t="n">
        <x:v>52.47</x:v>
      </x:c>
      <x:c r="D12" s="3" t="n">
        <x:v>2.09</x:v>
      </x:c>
      <x:c r="E12" s="3" t="n">
        <x:v>51.95</x:v>
      </x:c>
      <x:c r="F12" s="4" t="n">
        <x:f aca="0">ROUND(D12-B12,2)</x:f>
        <x:v>-0.33</x:v>
      </x:c>
      <x:c r="G12" s="4" t="n">
        <x:f aca="0">ROUND(E12-C12,2)</x:f>
        <x:v>-0.52</x:v>
      </x:c>
      <x:c r="H12" s="5" t="n">
        <x:f aca="0">RANK(B12,B$2:B$128,1)+(COUNTIF(B$2:B$128,B12)-1)/2</x:f>
        <x:v>11</x:v>
      </x:c>
      <x:c r="I12" s="5" t="n">
        <x:f aca="0">RANK(C12,C$2:C$128,1)+(COUNTIF(C$2:C$128,C12)-1)/2</x:f>
        <x:v>117</x:v>
      </x:c>
      <x:c r="J12" s="5" t="n">
        <x:f aca="0">RANK(D12,D$2:D$128,1)+(COUNTIF(D$2:D$128,D12)-1)/2</x:f>
        <x:v>9</x:v>
      </x:c>
      <x:c r="K12" s="5" t="n">
        <x:f aca="0">RANK(E12,E$2:E$128,1)+(COUNTIF(E$2:E$128,E12)-1)/2</x:f>
        <x:v>113</x:v>
      </x:c>
      <x:c r="L12" s="5" t="n">
        <x:f aca="0">RANK(F12,F$2:F$128,1)+(COUNTIF(F$2:F$128,F12)-1)/2</x:f>
        <x:v>55.5</x:v>
      </x:c>
      <x:c r="M12" s="5" t="n">
        <x:f aca="0">RANK(G12,G$2:G$128,1)+(COUNTIF(G$2:G$128,G12)-1)/2</x:f>
        <x:v>49</x:v>
      </x:c>
      <x:c r="N12" s="2" t="str">
        <x:f aca="0">IF(G12&gt;=1,"вырос",IF(G12&lt;=-1,"снизился","мало изменился"))</x:f>
        <x:v>мало изменился</x:v>
      </x:c>
      <x:c r="P12" s="29" t="str">
        <x:v>Буквенные подпатчи</x:v>
      </x:c>
      <x:c r="Q12" s="32" t="str">
        <x:v>Состав включённых подпатчей не сохранён</x:v>
      </x:c>
    </x:row>
    <x:row r="13" ht="35" hidden="0" customHeight="1">
      <x:c r="A13" s="2" t="s">
        <x:v>25</x:v>
      </x:c>
      <x:c r="B13" s="3" t="n">
        <x:v>11.61</x:v>
      </x:c>
      <x:c r="C13" s="3" t="n">
        <x:v>52.01</x:v>
      </x:c>
      <x:c r="D13" s="3" t="n">
        <x:v>5.22</x:v>
      </x:c>
      <x:c r="E13" s="3" t="n">
        <x:v>49.8</x:v>
      </x:c>
      <x:c r="F13" s="4" t="n">
        <x:f aca="0">ROUND(D13-B13,2)</x:f>
        <x:v>-6.39</x:v>
      </x:c>
      <x:c r="G13" s="4" t="n">
        <x:f aca="0">ROUND(E13-C13,2)</x:f>
        <x:v>-2.21</x:v>
      </x:c>
      <x:c r="H13" s="5" t="n">
        <x:f aca="0">RANK(B13,B$2:B$128,1)+(COUNTIF(B$2:B$128,B13)-1)/2</x:f>
        <x:v>101</x:v>
      </x:c>
      <x:c r="I13" s="5" t="n">
        <x:f aca="0">RANK(C13,C$2:C$128,1)+(COUNTIF(C$2:C$128,C13)-1)/2</x:f>
        <x:v>110.5</x:v>
      </x:c>
      <x:c r="J13" s="5" t="n">
        <x:f aca="0">RANK(D13,D$2:D$128,1)+(COUNTIF(D$2:D$128,D13)-1)/2</x:f>
        <x:v>49</x:v>
      </x:c>
      <x:c r="K13" s="5" t="n">
        <x:f aca="0">RANK(E13,E$2:E$128,1)+(COUNTIF(E$2:E$128,E13)-1)/2</x:f>
        <x:v>58.5</x:v>
      </x:c>
      <x:c r="L13" s="5" t="n">
        <x:f aca="0">RANK(F13,F$2:F$128,1)+(COUNTIF(F$2:F$128,F13)-1)/2</x:f>
        <x:v>2</x:v>
      </x:c>
      <x:c r="M13" s="5" t="n">
        <x:f aca="0">RANK(G13,G$2:G$128,1)+(COUNTIF(G$2:G$128,G13)-1)/2</x:f>
        <x:v>13</x:v>
      </x:c>
      <x:c r="N13" s="2" t="str">
        <x:f aca="0">IF(G13&gt;=1,"вырос",IF(G13&lt;=-1,"снизился","мало изменился"))</x:f>
        <x:v>снизился</x:v>
      </x:c>
      <x:c r="P13" s="29" t="str">
        <x:v>Точные URL с фильтрами</x:v>
      </x:c>
      <x:c r="Q13" s="32" t="str">
        <x:v>Не сохранены</x:v>
      </x:c>
    </x:row>
    <x:row r="14" ht="35" hidden="0" customHeight="1">
      <x:c r="A14" s="2" t="s">
        <x:v>26</x:v>
      </x:c>
      <x:c r="B14" s="3" t="n">
        <x:v>14.52</x:v>
      </x:c>
      <x:c r="C14" s="3" t="n">
        <x:v>52.18</x:v>
      </x:c>
      <x:c r="D14" s="3" t="n">
        <x:v>13.45</x:v>
      </x:c>
      <x:c r="E14" s="3" t="n">
        <x:v>48.98</x:v>
      </x:c>
      <x:c r="F14" s="4" t="n">
        <x:f aca="0">ROUND(D14-B14,2)</x:f>
        <x:v>-1.07</x:v>
      </x:c>
      <x:c r="G14" s="4" t="n">
        <x:f aca="0">ROUND(E14-C14,2)</x:f>
        <x:v>-3.2</x:v>
      </x:c>
      <x:c r="H14" s="5" t="n">
        <x:f aca="0">RANK(B14,B$2:B$128,1)+(COUNTIF(B$2:B$128,B14)-1)/2</x:f>
        <x:v>114</x:v>
      </x:c>
      <x:c r="I14" s="5" t="n">
        <x:f aca="0">RANK(C14,C$2:C$128,1)+(COUNTIF(C$2:C$128,C14)-1)/2</x:f>
        <x:v>112</x:v>
      </x:c>
      <x:c r="J14" s="5" t="n">
        <x:f aca="0">RANK(D14,D$2:D$128,1)+(COUNTIF(D$2:D$128,D14)-1)/2</x:f>
        <x:v>109</x:v>
      </x:c>
      <x:c r="K14" s="5" t="n">
        <x:f aca="0">RANK(E14,E$2:E$128,1)+(COUNTIF(E$2:E$128,E14)-1)/2</x:f>
        <x:v>41</x:v>
      </x:c>
      <x:c r="L14" s="5" t="n">
        <x:f aca="0">RANK(F14,F$2:F$128,1)+(COUNTIF(F$2:F$128,F14)-1)/2</x:f>
        <x:v>38</x:v>
      </x:c>
      <x:c r="M14" s="5" t="n">
        <x:f aca="0">RANK(G14,G$2:G$128,1)+(COUNTIF(G$2:G$128,G14)-1)/2</x:f>
        <x:v>3</x:v>
      </x:c>
      <x:c r="N14" s="2" t="str">
        <x:f aca="0">IF(G14&gt;=1,"вырос",IF(G14&lt;=-1,"снизился","мало изменился"))</x:f>
        <x:v>снизился</x:v>
      </x:c>
      <x:c r="P14" s="29" t="str">
        <x:v>Противоречие исходников</x:v>
      </x:c>
      <x:c r="Q14" s="32" t="str">
        <x:v>Word: Dotabuff; Excel A41: Dota Plus. Происхождение не подтверждено.</x:v>
      </x:c>
    </x:row>
    <x:row r="15" ht="35" hidden="0" customHeight="1">
      <x:c r="A15" s="2" t="s">
        <x:v>27</x:v>
      </x:c>
      <x:c r="B15" s="3" t="n">
        <x:v>14.35</x:v>
      </x:c>
      <x:c r="C15" s="3" t="n">
        <x:v>50.71</x:v>
      </x:c>
      <x:c r="D15" s="3" t="n">
        <x:v>12.26</x:v>
      </x:c>
      <x:c r="E15" s="3" t="n">
        <x:v>49.77</x:v>
      </x:c>
      <x:c r="F15" s="4" t="n">
        <x:f aca="0">ROUND(D15-B15,2)</x:f>
        <x:v>-2.09</x:v>
      </x:c>
      <x:c r="G15" s="4" t="n">
        <x:f aca="0">ROUND(E15-C15,2)</x:f>
        <x:v>-0.94</x:v>
      </x:c>
      <x:c r="H15" s="5" t="n">
        <x:f aca="0">RANK(B15,B$2:B$128,1)+(COUNTIF(B$2:B$128,B15)-1)/2</x:f>
        <x:v>111</x:v>
      </x:c>
      <x:c r="I15" s="5" t="n">
        <x:f aca="0">RANK(C15,C$2:C$128,1)+(COUNTIF(C$2:C$128,C15)-1)/2</x:f>
        <x:v>80</x:v>
      </x:c>
      <x:c r="J15" s="5" t="n">
        <x:f aca="0">RANK(D15,D$2:D$128,1)+(COUNTIF(D$2:D$128,D15)-1)/2</x:f>
        <x:v>104</x:v>
      </x:c>
      <x:c r="K15" s="5" t="n">
        <x:f aca="0">RANK(E15,E$2:E$128,1)+(COUNTIF(E$2:E$128,E15)-1)/2</x:f>
        <x:v>56</x:v>
      </x:c>
      <x:c r="L15" s="5" t="n">
        <x:f aca="0">RANK(F15,F$2:F$128,1)+(COUNTIF(F$2:F$128,F15)-1)/2</x:f>
        <x:v>19</x:v>
      </x:c>
      <x:c r="M15" s="5" t="n">
        <x:f aca="0">RANK(G15,G$2:G$128,1)+(COUNTIF(G$2:G$128,G15)-1)/2</x:f>
        <x:v>36.5</x:v>
      </x:c>
      <x:c r="N15" s="2" t="str">
        <x:f aca="0">IF(G15&gt;=1,"вырос",IF(G15&lt;=-1,"снизился","мало изменился"))</x:f>
        <x:v>мало изменился</x:v>
      </x:c>
      <x:c r="P15" s="29" t="str">
        <x:v>Статус обновления</x:v>
      </x:c>
      <x:c r="Q15" s="29" t="str">
        <x:v>Проверен предоставленный файл; новая выгрузка не выполнялась</x:v>
      </x:c>
    </x:row>
    <x:row r="16" ht="35" hidden="0" customHeight="1">
      <x:c r="A16" s="2" t="s">
        <x:v>28</x:v>
      </x:c>
      <x:c r="B16" s="3" t="n">
        <x:v>13.26</x:v>
      </x:c>
      <x:c r="C16" s="3" t="n">
        <x:v>51.75</x:v>
      </x:c>
      <x:c r="D16" s="3" t="n">
        <x:v>15.62</x:v>
      </x:c>
      <x:c r="E16" s="3" t="n">
        <x:v>51.74</x:v>
      </x:c>
      <x:c r="F16" s="4" t="n">
        <x:f aca="0">ROUND(D16-B16,2)</x:f>
        <x:v>2.36</x:v>
      </x:c>
      <x:c r="G16" s="4" t="n">
        <x:f aca="0">ROUND(E16-C16,2)</x:f>
        <x:v>-0.01</x:v>
      </x:c>
      <x:c r="H16" s="5" t="n">
        <x:f aca="0">RANK(B16,B$2:B$128,1)+(COUNTIF(B$2:B$128,B16)-1)/2</x:f>
        <x:v>109</x:v>
      </x:c>
      <x:c r="I16" s="5" t="n">
        <x:f aca="0">RANK(C16,C$2:C$128,1)+(COUNTIF(C$2:C$128,C16)-1)/2</x:f>
        <x:v>106</x:v>
      </x:c>
      <x:c r="J16" s="5" t="n">
        <x:f aca="0">RANK(D16,D$2:D$128,1)+(COUNTIF(D$2:D$128,D16)-1)/2</x:f>
        <x:v>118</x:v>
      </x:c>
      <x:c r="K16" s="5" t="n">
        <x:f aca="0">RANK(E16,E$2:E$128,1)+(COUNTIF(E$2:E$128,E16)-1)/2</x:f>
        <x:v>108.5</x:v>
      </x:c>
      <x:c r="L16" s="5" t="n">
        <x:f aca="0">RANK(F16,F$2:F$128,1)+(COUNTIF(F$2:F$128,F16)-1)/2</x:f>
        <x:v>108</x:v>
      </x:c>
      <x:c r="M16" s="5" t="n">
        <x:f aca="0">RANK(G16,G$2:G$128,1)+(COUNTIF(G$2:G$128,G16)-1)/2</x:f>
        <x:v>72</x:v>
      </x:c>
      <x:c r="N16" s="2" t="str">
        <x:f aca="0">IF(G16&gt;=1,"вырос",IF(G16&lt;=-1,"снизился","мало изменился"))</x:f>
        <x:v>мало изменился</x:v>
      </x:c>
      <x:c r="P16" s="29" t="str">
        <x:v>Точность исходных значений</x:v>
      </x:c>
      <x:c r="Q16" s="29" t="str">
        <x:v>Два знака после запятой; исходные числа B2:E128 сохранены</x:v>
      </x:c>
    </x:row>
    <x:row r="17" ht="15" hidden="0">
      <x:c r="A17" s="2" t="s">
        <x:v>29</x:v>
      </x:c>
      <x:c r="B17" s="3" t="n">
        <x:v>15.25</x:v>
      </x:c>
      <x:c r="C17" s="3" t="n">
        <x:v>51.82</x:v>
      </x:c>
      <x:c r="D17" s="3" t="n">
        <x:v>14.98</x:v>
      </x:c>
      <x:c r="E17" s="3" t="n">
        <x:v>51.93</x:v>
      </x:c>
      <x:c r="F17" s="4" t="n">
        <x:f aca="0">ROUND(D17-B17,2)</x:f>
        <x:v>-0.27</x:v>
      </x:c>
      <x:c r="G17" s="4" t="n">
        <x:f aca="0">ROUND(E17-C17,2)</x:f>
        <x:v>0.11</x:v>
      </x:c>
      <x:c r="H17" s="5" t="n">
        <x:f aca="0">RANK(B17,B$2:B$128,1)+(COUNTIF(B$2:B$128,B17)-1)/2</x:f>
        <x:v>115</x:v>
      </x:c>
      <x:c r="I17" s="5" t="n">
        <x:f aca="0">RANK(C17,C$2:C$128,1)+(COUNTIF(C$2:C$128,C17)-1)/2</x:f>
        <x:v>107.5</x:v>
      </x:c>
      <x:c r="J17" s="5" t="n">
        <x:f aca="0">RANK(D17,D$2:D$128,1)+(COUNTIF(D$2:D$128,D17)-1)/2</x:f>
        <x:v>113.5</x:v>
      </x:c>
      <x:c r="K17" s="5" t="n">
        <x:f aca="0">RANK(E17,E$2:E$128,1)+(COUNTIF(E$2:E$128,E17)-1)/2</x:f>
        <x:v>112</x:v>
      </x:c>
      <x:c r="L17" s="5" t="n">
        <x:f aca="0">RANK(F17,F$2:F$128,1)+(COUNTIF(F$2:F$128,F17)-1)/2</x:f>
        <x:v>60</x:v>
      </x:c>
      <x:c r="M17" s="5" t="n">
        <x:f aca="0">RANK(G17,G$2:G$128,1)+(COUNTIF(G$2:G$128,G17)-1)/2</x:f>
        <x:v>74</x:v>
      </x:c>
      <x:c r="N17" s="2" t="str">
        <x:f aca="0">IF(G17&gt;=1,"вырос",IF(G17&lt;=-1,"снизился","мало изменился"))</x:f>
        <x:v>мало изменился</x:v>
      </x:c>
    </x:row>
    <x:row r="18" ht="15" hidden="0">
      <x:c r="A18" s="2" t="s">
        <x:v>30</x:v>
      </x:c>
      <x:c r="B18" s="3" t="n">
        <x:v>6.29</x:v>
      </x:c>
      <x:c r="C18" s="3" t="n">
        <x:v>52.72</x:v>
      </x:c>
      <x:c r="D18" s="3" t="n">
        <x:v>5.17</x:v>
      </x:c>
      <x:c r="E18" s="3" t="n">
        <x:v>51.03</x:v>
      </x:c>
      <x:c r="F18" s="4" t="n">
        <x:f aca="0">ROUND(D18-B18,2)</x:f>
        <x:v>-1.12</x:v>
      </x:c>
      <x:c r="G18" s="4" t="n">
        <x:f aca="0">ROUND(E18-C18,2)</x:f>
        <x:v>-1.69</x:v>
      </x:c>
      <x:c r="H18" s="5" t="n">
        <x:f aca="0">RANK(B18,B$2:B$128,1)+(COUNTIF(B$2:B$128,B18)-1)/2</x:f>
        <x:v>62</x:v>
      </x:c>
      <x:c r="I18" s="5" t="n">
        <x:f aca="0">RANK(C18,C$2:C$128,1)+(COUNTIF(C$2:C$128,C18)-1)/2</x:f>
        <x:v>120</x:v>
      </x:c>
      <x:c r="J18" s="5" t="n">
        <x:f aca="0">RANK(D18,D$2:D$128,1)+(COUNTIF(D$2:D$128,D18)-1)/2</x:f>
        <x:v>48</x:v>
      </x:c>
      <x:c r="K18" s="5" t="n">
        <x:f aca="0">RANK(E18,E$2:E$128,1)+(COUNTIF(E$2:E$128,E18)-1)/2</x:f>
        <x:v>96</x:v>
      </x:c>
      <x:c r="L18" s="5" t="n">
        <x:f aca="0">RANK(F18,F$2:F$128,1)+(COUNTIF(F$2:F$128,F18)-1)/2</x:f>
        <x:v>35</x:v>
      </x:c>
      <x:c r="M18" s="5" t="n">
        <x:f aca="0">RANK(G18,G$2:G$128,1)+(COUNTIF(G$2:G$128,G18)-1)/2</x:f>
        <x:v>19</x:v>
      </x:c>
      <x:c r="N18" s="2" t="str">
        <x:f aca="0">IF(G18&gt;=1,"вырос",IF(G18&lt;=-1,"снизился","мало изменился"))</x:f>
        <x:v>снизился</x:v>
      </x:c>
    </x:row>
    <x:row r="19" ht="15" hidden="0">
      <x:c r="A19" s="2" t="s">
        <x:v>31</x:v>
      </x:c>
      <x:c r="B19" s="3" t="n">
        <x:v>5.35</x:v>
      </x:c>
      <x:c r="C19" s="3" t="n">
        <x:v>52.8</x:v>
      </x:c>
      <x:c r="D19" s="3" t="n">
        <x:v>2.69</x:v>
      </x:c>
      <x:c r="E19" s="3" t="n">
        <x:v>50.12</x:v>
      </x:c>
      <x:c r="F19" s="4" t="n">
        <x:f aca="0">ROUND(D19-B19,2)</x:f>
        <x:v>-2.66</x:v>
      </x:c>
      <x:c r="G19" s="4" t="n">
        <x:f aca="0">ROUND(E19-C19,2)</x:f>
        <x:v>-2.68</x:v>
      </x:c>
      <x:c r="H19" s="5" t="n">
        <x:f aca="0">RANK(B19,B$2:B$128,1)+(COUNTIF(B$2:B$128,B19)-1)/2</x:f>
        <x:v>52</x:v>
      </x:c>
      <x:c r="I19" s="5" t="n">
        <x:f aca="0">RANK(C19,C$2:C$128,1)+(COUNTIF(C$2:C$128,C19)-1)/2</x:f>
        <x:v>121</x:v>
      </x:c>
      <x:c r="J19" s="5" t="n">
        <x:f aca="0">RANK(D19,D$2:D$128,1)+(COUNTIF(D$2:D$128,D19)-1)/2</x:f>
        <x:v>12</x:v>
      </x:c>
      <x:c r="K19" s="5" t="n">
        <x:f aca="0">RANK(E19,E$2:E$128,1)+(COUNTIF(E$2:E$128,E19)-1)/2</x:f>
        <x:v>73.5</x:v>
      </x:c>
      <x:c r="L19" s="5" t="n">
        <x:f aca="0">RANK(F19,F$2:F$128,1)+(COUNTIF(F$2:F$128,F19)-1)/2</x:f>
        <x:v>12</x:v>
      </x:c>
      <x:c r="M19" s="5" t="n">
        <x:f aca="0">RANK(G19,G$2:G$128,1)+(COUNTIF(G$2:G$128,G19)-1)/2</x:f>
        <x:v>7</x:v>
      </x:c>
      <x:c r="N19" s="2" t="str">
        <x:f aca="0">IF(G19&gt;=1,"вырос",IF(G19&lt;=-1,"снизился","мало изменился"))</x:f>
        <x:v>снизился</x:v>
      </x:c>
    </x:row>
    <x:row r="20" ht="15" hidden="0">
      <x:c r="A20" s="2" t="s">
        <x:v>32</x:v>
      </x:c>
      <x:c r="B20" s="3" t="n">
        <x:v>6.5</x:v>
      </x:c>
      <x:c r="C20" s="3" t="n">
        <x:v>52.3</x:v>
      </x:c>
      <x:c r="D20" s="3" t="n">
        <x:v>6.48</x:v>
      </x:c>
      <x:c r="E20" s="3" t="n">
        <x:v>52.17</x:v>
      </x:c>
      <x:c r="F20" s="4" t="n">
        <x:f aca="0">ROUND(D20-B20,2)</x:f>
        <x:v>-0.02</x:v>
      </x:c>
      <x:c r="G20" s="4" t="n">
        <x:f aca="0">ROUND(E20-C20,2)</x:f>
        <x:v>-0.13</x:v>
      </x:c>
      <x:c r="H20" s="5" t="n">
        <x:f aca="0">RANK(B20,B$2:B$128,1)+(COUNTIF(B$2:B$128,B20)-1)/2</x:f>
        <x:v>64</x:v>
      </x:c>
      <x:c r="I20" s="5" t="n">
        <x:f aca="0">RANK(C20,C$2:C$128,1)+(COUNTIF(C$2:C$128,C20)-1)/2</x:f>
        <x:v>114</x:v>
      </x:c>
      <x:c r="J20" s="5" t="n">
        <x:f aca="0">RANK(D20,D$2:D$128,1)+(COUNTIF(D$2:D$128,D20)-1)/2</x:f>
        <x:v>68.5</x:v>
      </x:c>
      <x:c r="K20" s="5" t="n">
        <x:f aca="0">RANK(E20,E$2:E$128,1)+(COUNTIF(E$2:E$128,E20)-1)/2</x:f>
        <x:v>117</x:v>
      </x:c>
      <x:c r="L20" s="5" t="n">
        <x:f aca="0">RANK(F20,F$2:F$128,1)+(COUNTIF(F$2:F$128,F20)-1)/2</x:f>
        <x:v>66.5</x:v>
      </x:c>
      <x:c r="M20" s="5" t="n">
        <x:f aca="0">RANK(G20,G$2:G$128,1)+(COUNTIF(G$2:G$128,G20)-1)/2</x:f>
        <x:v>68</x:v>
      </x:c>
      <x:c r="N20" s="2" t="str">
        <x:f aca="0">IF(G20&gt;=1,"вырос",IF(G20&lt;=-1,"снизился","мало изменился"))</x:f>
        <x:v>мало изменился</x:v>
      </x:c>
    </x:row>
    <x:row r="21" ht="15" hidden="0">
      <x:c r="A21" s="2" t="s">
        <x:v>33</x:v>
      </x:c>
      <x:c r="B21" s="3" t="n">
        <x:v>6.95</x:v>
      </x:c>
      <x:c r="C21" s="3" t="n">
        <x:v>52.63</x:v>
      </x:c>
      <x:c r="D21" s="3" t="n">
        <x:v>10.31</x:v>
      </x:c>
      <x:c r="E21" s="3" t="n">
        <x:v>52.95</x:v>
      </x:c>
      <x:c r="F21" s="4" t="n">
        <x:f aca="0">ROUND(D21-B21,2)</x:f>
        <x:v>3.36</x:v>
      </x:c>
      <x:c r="G21" s="4" t="n">
        <x:f aca="0">ROUND(E21-C21,2)</x:f>
        <x:v>0.32</x:v>
      </x:c>
      <x:c r="H21" s="5" t="n">
        <x:f aca="0">RANK(B21,B$2:B$128,1)+(COUNTIF(B$2:B$128,B21)-1)/2</x:f>
        <x:v>71</x:v>
      </x:c>
      <x:c r="I21" s="5" t="n">
        <x:f aca="0">RANK(C21,C$2:C$128,1)+(COUNTIF(C$2:C$128,C21)-1)/2</x:f>
        <x:v>119</x:v>
      </x:c>
      <x:c r="J21" s="5" t="n">
        <x:f aca="0">RANK(D21,D$2:D$128,1)+(COUNTIF(D$2:D$128,D21)-1)/2</x:f>
        <x:v>91</x:v>
      </x:c>
      <x:c r="K21" s="5" t="n">
        <x:f aca="0">RANK(E21,E$2:E$128,1)+(COUNTIF(E$2:E$128,E21)-1)/2</x:f>
        <x:v>124</x:v>
      </x:c>
      <x:c r="L21" s="5" t="n">
        <x:f aca="0">RANK(F21,F$2:F$128,1)+(COUNTIF(F$2:F$128,F21)-1)/2</x:f>
        <x:v>120.5</x:v>
      </x:c>
      <x:c r="M21" s="5" t="n">
        <x:f aca="0">RANK(G21,G$2:G$128,1)+(COUNTIF(G$2:G$128,G21)-1)/2</x:f>
        <x:v>81</x:v>
      </x:c>
      <x:c r="N21" s="2" t="str">
        <x:f aca="0">IF(G21&gt;=1,"вырос",IF(G21&lt;=-1,"снизился","мало изменился"))</x:f>
        <x:v>мало изменился</x:v>
      </x:c>
    </x:row>
    <x:row r="22" ht="15" hidden="0">
      <x:c r="A22" s="2" t="s">
        <x:v>34</x:v>
      </x:c>
      <x:c r="B22" s="3" t="n">
        <x:v>9.4</x:v>
      </x:c>
      <x:c r="C22" s="3" t="n">
        <x:v>52.01</x:v>
      </x:c>
      <x:c r="D22" s="3" t="n">
        <x:v>9.08</x:v>
      </x:c>
      <x:c r="E22" s="3" t="n">
        <x:v>50.9</x:v>
      </x:c>
      <x:c r="F22" s="4" t="n">
        <x:f aca="0">ROUND(D22-B22,2)</x:f>
        <x:v>-0.32</x:v>
      </x:c>
      <x:c r="G22" s="4" t="n">
        <x:f aca="0">ROUND(E22-C22,2)</x:f>
        <x:v>-1.11</x:v>
      </x:c>
      <x:c r="H22" s="5" t="n">
        <x:f aca="0">RANK(B22,B$2:B$128,1)+(COUNTIF(B$2:B$128,B22)-1)/2</x:f>
        <x:v>89</x:v>
      </x:c>
      <x:c r="I22" s="5" t="n">
        <x:f aca="0">RANK(C22,C$2:C$128,1)+(COUNTIF(C$2:C$128,C22)-1)/2</x:f>
        <x:v>110.5</x:v>
      </x:c>
      <x:c r="J22" s="5" t="n">
        <x:f aca="0">RANK(D22,D$2:D$128,1)+(COUNTIF(D$2:D$128,D22)-1)/2</x:f>
        <x:v>86.5</x:v>
      </x:c>
      <x:c r="K22" s="5" t="n">
        <x:f aca="0">RANK(E22,E$2:E$128,1)+(COUNTIF(E$2:E$128,E22)-1)/2</x:f>
        <x:v>90.5</x:v>
      </x:c>
      <x:c r="L22" s="5" t="n">
        <x:f aca="0">RANK(F22,F$2:F$128,1)+(COUNTIF(F$2:F$128,F22)-1)/2</x:f>
        <x:v>57</x:v>
      </x:c>
      <x:c r="M22" s="5" t="n">
        <x:f aca="0">RANK(G22,G$2:G$128,1)+(COUNTIF(G$2:G$128,G22)-1)/2</x:f>
        <x:v>33</x:v>
      </x:c>
      <x:c r="N22" s="2" t="str">
        <x:f aca="0">IF(G22&gt;=1,"вырос",IF(G22&lt;=-1,"снизился","мало изменился"))</x:f>
        <x:v>снизился</x:v>
      </x:c>
    </x:row>
    <x:row r="23" ht="15" hidden="0">
      <x:c r="A23" s="2" t="s">
        <x:v>35</x:v>
      </x:c>
      <x:c r="B23" s="3" t="n">
        <x:v>5.61</x:v>
      </x:c>
      <x:c r="C23" s="3" t="n">
        <x:v>51.39</x:v>
      </x:c>
      <x:c r="D23" s="3" t="n">
        <x:v>6.03</x:v>
      </x:c>
      <x:c r="E23" s="3" t="n">
        <x:v>51.69</x:v>
      </x:c>
      <x:c r="F23" s="4" t="n">
        <x:f aca="0">ROUND(D23-B23,2)</x:f>
        <x:v>0.42</x:v>
      </x:c>
      <x:c r="G23" s="4" t="n">
        <x:f aca="0">ROUND(E23-C23,2)</x:f>
        <x:v>0.3</x:v>
      </x:c>
      <x:c r="H23" s="5" t="n">
        <x:f aca="0">RANK(B23,B$2:B$128,1)+(COUNTIF(B$2:B$128,B23)-1)/2</x:f>
        <x:v>55</x:v>
      </x:c>
      <x:c r="I23" s="5" t="n">
        <x:f aca="0">RANK(C23,C$2:C$128,1)+(COUNTIF(C$2:C$128,C23)-1)/2</x:f>
        <x:v>100.5</x:v>
      </x:c>
      <x:c r="J23" s="5" t="n">
        <x:f aca="0">RANK(D23,D$2:D$128,1)+(COUNTIF(D$2:D$128,D23)-1)/2</x:f>
        <x:v>60</x:v>
      </x:c>
      <x:c r="K23" s="5" t="n">
        <x:f aca="0">RANK(E23,E$2:E$128,1)+(COUNTIF(E$2:E$128,E23)-1)/2</x:f>
        <x:v>106</x:v>
      </x:c>
      <x:c r="L23" s="5" t="n">
        <x:f aca="0">RANK(F23,F$2:F$128,1)+(COUNTIF(F$2:F$128,F23)-1)/2</x:f>
        <x:v>81</x:v>
      </x:c>
      <x:c r="M23" s="5" t="n">
        <x:f aca="0">RANK(G23,G$2:G$128,1)+(COUNTIF(G$2:G$128,G23)-1)/2</x:f>
        <x:v>78</x:v>
      </x:c>
      <x:c r="N23" s="2" t="str">
        <x:f aca="0">IF(G23&gt;=1,"вырос",IF(G23&lt;=-1,"снизился","мало изменился"))</x:f>
        <x:v>мало изменился</x:v>
      </x:c>
    </x:row>
    <x:row r="24" ht="15" hidden="0">
      <x:c r="A24" s="2" t="s">
        <x:v>36</x:v>
      </x:c>
      <x:c r="B24" s="3" t="n">
        <x:v>14.43</x:v>
      </x:c>
      <x:c r="C24" s="3" t="n">
        <x:v>51.4</x:v>
      </x:c>
      <x:c r="D24" s="3" t="n">
        <x:v>12</x:v>
      </x:c>
      <x:c r="E24" s="3" t="n">
        <x:v>49.87</x:v>
      </x:c>
      <x:c r="F24" s="4" t="n">
        <x:f aca="0">ROUND(D24-B24,2)</x:f>
        <x:v>-2.43</x:v>
      </x:c>
      <x:c r="G24" s="4" t="n">
        <x:f aca="0">ROUND(E24-C24,2)</x:f>
        <x:v>-1.53</x:v>
      </x:c>
      <x:c r="H24" s="5" t="n">
        <x:f aca="0">RANK(B24,B$2:B$128,1)+(COUNTIF(B$2:B$128,B24)-1)/2</x:f>
        <x:v>112.5</x:v>
      </x:c>
      <x:c r="I24" s="5" t="n">
        <x:f aca="0">RANK(C24,C$2:C$128,1)+(COUNTIF(C$2:C$128,C24)-1)/2</x:f>
        <x:v>102.5</x:v>
      </x:c>
      <x:c r="J24" s="5" t="n">
        <x:f aca="0">RANK(D24,D$2:D$128,1)+(COUNTIF(D$2:D$128,D24)-1)/2</x:f>
        <x:v>103</x:v>
      </x:c>
      <x:c r="K24" s="5" t="n">
        <x:f aca="0">RANK(E24,E$2:E$128,1)+(COUNTIF(E$2:E$128,E24)-1)/2</x:f>
        <x:v>62</x:v>
      </x:c>
      <x:c r="L24" s="5" t="n">
        <x:f aca="0">RANK(F24,F$2:F$128,1)+(COUNTIF(F$2:F$128,F24)-1)/2</x:f>
        <x:v>14</x:v>
      </x:c>
      <x:c r="M24" s="5" t="n">
        <x:f aca="0">RANK(G24,G$2:G$128,1)+(COUNTIF(G$2:G$128,G24)-1)/2</x:f>
        <x:v>22</x:v>
      </x:c>
      <x:c r="N24" s="2" t="str">
        <x:f aca="0">IF(G24&gt;=1,"вырос",IF(G24&lt;=-1,"снизился","мало изменился"))</x:f>
        <x:v>снизился</x:v>
      </x:c>
    </x:row>
    <x:row r="25" ht="15" hidden="0">
      <x:c r="A25" s="2" t="s">
        <x:v>37</x:v>
      </x:c>
      <x:c r="B25" s="3" t="n">
        <x:v>19.42</x:v>
      </x:c>
      <x:c r="C25" s="3" t="n">
        <x:v>50.82</x:v>
      </x:c>
      <x:c r="D25" s="3" t="n">
        <x:v>19.74</x:v>
      </x:c>
      <x:c r="E25" s="3" t="n">
        <x:v>50.51</x:v>
      </x:c>
      <x:c r="F25" s="4" t="n">
        <x:f aca="0">ROUND(D25-B25,2)</x:f>
        <x:v>0.32</x:v>
      </x:c>
      <x:c r="G25" s="4" t="n">
        <x:f aca="0">ROUND(E25-C25,2)</x:f>
        <x:v>-0.31</x:v>
      </x:c>
      <x:c r="H25" s="5" t="n">
        <x:f aca="0">RANK(B25,B$2:B$128,1)+(COUNTIF(B$2:B$128,B25)-1)/2</x:f>
        <x:v>125</x:v>
      </x:c>
      <x:c r="I25" s="5" t="n">
        <x:f aca="0">RANK(C25,C$2:C$128,1)+(COUNTIF(C$2:C$128,C25)-1)/2</x:f>
        <x:v>86.5</x:v>
      </x:c>
      <x:c r="J25" s="5" t="n">
        <x:f aca="0">RANK(D25,D$2:D$128,1)+(COUNTIF(D$2:D$128,D25)-1)/2</x:f>
        <x:v>124</x:v>
      </x:c>
      <x:c r="K25" s="5" t="n">
        <x:f aca="0">RANK(E25,E$2:E$128,1)+(COUNTIF(E$2:E$128,E25)-1)/2</x:f>
        <x:v>82</x:v>
      </x:c>
      <x:c r="L25" s="5" t="n">
        <x:f aca="0">RANK(F25,F$2:F$128,1)+(COUNTIF(F$2:F$128,F25)-1)/2</x:f>
        <x:v>78</x:v>
      </x:c>
      <x:c r="M25" s="5" t="n">
        <x:f aca="0">RANK(G25,G$2:G$128,1)+(COUNTIF(G$2:G$128,G25)-1)/2</x:f>
        <x:v>60.5</x:v>
      </x:c>
      <x:c r="N25" s="2" t="str">
        <x:f aca="0">IF(G25&gt;=1,"вырос",IF(G25&lt;=-1,"снизился","мало изменился"))</x:f>
        <x:v>мало изменился</x:v>
      </x:c>
    </x:row>
    <x:row r="26" ht="15" hidden="0">
      <x:c r="A26" s="2" t="s">
        <x:v>38</x:v>
      </x:c>
      <x:c r="B26" s="3" t="n">
        <x:v>15.44</x:v>
      </x:c>
      <x:c r="C26" s="3" t="n">
        <x:v>51.17</x:v>
      </x:c>
      <x:c r="D26" s="3" t="n">
        <x:v>14.98</x:v>
      </x:c>
      <x:c r="E26" s="3" t="n">
        <x:v>51.72</x:v>
      </x:c>
      <x:c r="F26" s="4" t="n">
        <x:f aca="0">ROUND(D26-B26,2)</x:f>
        <x:v>-0.46</x:v>
      </x:c>
      <x:c r="G26" s="4" t="n">
        <x:f aca="0">ROUND(E26-C26,2)</x:f>
        <x:v>0.55</x:v>
      </x:c>
      <x:c r="H26" s="5" t="n">
        <x:f aca="0">RANK(B26,B$2:B$128,1)+(COUNTIF(B$2:B$128,B26)-1)/2</x:f>
        <x:v>116</x:v>
      </x:c>
      <x:c r="I26" s="5" t="n">
        <x:f aca="0">RANK(C26,C$2:C$128,1)+(COUNTIF(C$2:C$128,C26)-1)/2</x:f>
        <x:v>96</x:v>
      </x:c>
      <x:c r="J26" s="5" t="n">
        <x:f aca="0">RANK(D26,D$2:D$128,1)+(COUNTIF(D$2:D$128,D26)-1)/2</x:f>
        <x:v>113.5</x:v>
      </x:c>
      <x:c r="K26" s="5" t="n">
        <x:f aca="0">RANK(E26,E$2:E$128,1)+(COUNTIF(E$2:E$128,E26)-1)/2</x:f>
        <x:v>107</x:v>
      </x:c>
      <x:c r="L26" s="5" t="n">
        <x:f aca="0">RANK(F26,F$2:F$128,1)+(COUNTIF(F$2:F$128,F26)-1)/2</x:f>
        <x:v>51.5</x:v>
      </x:c>
      <x:c r="M26" s="5" t="n">
        <x:f aca="0">RANK(G26,G$2:G$128,1)+(COUNTIF(G$2:G$128,G26)-1)/2</x:f>
        <x:v>91</x:v>
      </x:c>
      <x:c r="N26" s="2" t="str">
        <x:f aca="0">IF(G26&gt;=1,"вырос",IF(G26&lt;=-1,"снизился","мало изменился"))</x:f>
        <x:v>мало изменился</x:v>
      </x:c>
    </x:row>
    <x:row r="27" ht="15" hidden="0">
      <x:c r="A27" s="2" t="s">
        <x:v>39</x:v>
      </x:c>
      <x:c r="B27" s="3" t="n">
        <x:v>5.81</x:v>
      </x:c>
      <x:c r="C27" s="3" t="n">
        <x:v>52.25</x:v>
      </x:c>
      <x:c r="D27" s="3" t="n">
        <x:v>4.24</x:v>
      </x:c>
      <x:c r="E27" s="3" t="n">
        <x:v>50.81</x:v>
      </x:c>
      <x:c r="F27" s="4" t="n">
        <x:f aca="0">ROUND(D27-B27,2)</x:f>
        <x:v>-1.57</x:v>
      </x:c>
      <x:c r="G27" s="4" t="n">
        <x:f aca="0">ROUND(E27-C27,2)</x:f>
        <x:v>-1.44</x:v>
      </x:c>
      <x:c r="H27" s="5" t="n">
        <x:f aca="0">RANK(B27,B$2:B$128,1)+(COUNTIF(B$2:B$128,B27)-1)/2</x:f>
        <x:v>58</x:v>
      </x:c>
      <x:c r="I27" s="5" t="n">
        <x:f aca="0">RANK(C27,C$2:C$128,1)+(COUNTIF(C$2:C$128,C27)-1)/2</x:f>
        <x:v>113</x:v>
      </x:c>
      <x:c r="J27" s="5" t="n">
        <x:f aca="0">RANK(D27,D$2:D$128,1)+(COUNTIF(D$2:D$128,D27)-1)/2</x:f>
        <x:v>32</x:v>
      </x:c>
      <x:c r="K27" s="5" t="n">
        <x:f aca="0">RANK(E27,E$2:E$128,1)+(COUNTIF(E$2:E$128,E27)-1)/2</x:f>
        <x:v>88</x:v>
      </x:c>
      <x:c r="L27" s="5" t="n">
        <x:f aca="0">RANK(F27,F$2:F$128,1)+(COUNTIF(F$2:F$128,F27)-1)/2</x:f>
        <x:v>26</x:v>
      </x:c>
      <x:c r="M27" s="5" t="n">
        <x:f aca="0">RANK(G27,G$2:G$128,1)+(COUNTIF(G$2:G$128,G27)-1)/2</x:f>
        <x:v>24</x:v>
      </x:c>
      <x:c r="N27" s="2" t="str">
        <x:f aca="0">IF(G27&gt;=1,"вырос",IF(G27&lt;=-1,"снизился","мало изменился"))</x:f>
        <x:v>снизился</x:v>
      </x:c>
    </x:row>
    <x:row r="28" ht="15" hidden="0">
      <x:c r="A28" s="2" t="s">
        <x:v>40</x:v>
      </x:c>
      <x:c r="B28" s="3" t="n">
        <x:v>4.2</x:v>
      </x:c>
      <x:c r="C28" s="3" t="n">
        <x:v>52.42</x:v>
      </x:c>
      <x:c r="D28" s="3" t="n">
        <x:v>5.57</x:v>
      </x:c>
      <x:c r="E28" s="3" t="n">
        <x:v>50.07</x:v>
      </x:c>
      <x:c r="F28" s="4" t="n">
        <x:f aca="0">ROUND(D28-B28,2)</x:f>
        <x:v>1.37</x:v>
      </x:c>
      <x:c r="G28" s="4" t="n">
        <x:f aca="0">ROUND(E28-C28,2)</x:f>
        <x:v>-2.35</x:v>
      </x:c>
      <x:c r="H28" s="5" t="n">
        <x:f aca="0">RANK(B28,B$2:B$128,1)+(COUNTIF(B$2:B$128,B28)-1)/2</x:f>
        <x:v>28</x:v>
      </x:c>
      <x:c r="I28" s="5" t="n">
        <x:f aca="0">RANK(C28,C$2:C$128,1)+(COUNTIF(C$2:C$128,C28)-1)/2</x:f>
        <x:v>115.5</x:v>
      </x:c>
      <x:c r="J28" s="5" t="n">
        <x:f aca="0">RANK(D28,D$2:D$128,1)+(COUNTIF(D$2:D$128,D28)-1)/2</x:f>
        <x:v>55</x:v>
      </x:c>
      <x:c r="K28" s="5" t="n">
        <x:f aca="0">RANK(E28,E$2:E$128,1)+(COUNTIF(E$2:E$128,E28)-1)/2</x:f>
        <x:v>72</x:v>
      </x:c>
      <x:c r="L28" s="5" t="n">
        <x:f aca="0">RANK(F28,F$2:F$128,1)+(COUNTIF(F$2:F$128,F28)-1)/2</x:f>
        <x:v>93</x:v>
      </x:c>
      <x:c r="M28" s="5" t="n">
        <x:f aca="0">RANK(G28,G$2:G$128,1)+(COUNTIF(G$2:G$128,G28)-1)/2</x:f>
        <x:v>9</x:v>
      </x:c>
      <x:c r="N28" s="2" t="str">
        <x:f aca="0">IF(G28&gt;=1,"вырос",IF(G28&lt;=-1,"снизился","мало изменился"))</x:f>
        <x:v>снизился</x:v>
      </x:c>
    </x:row>
    <x:row r="29" ht="15" hidden="0">
      <x:c r="A29" s="2" t="s">
        <x:v>41</x:v>
      </x:c>
      <x:c r="B29" s="3" t="n">
        <x:v>11.58</x:v>
      </x:c>
      <x:c r="C29" s="3" t="n">
        <x:v>51.41</x:v>
      </x:c>
      <x:c r="D29" s="3" t="n">
        <x:v>15.6</x:v>
      </x:c>
      <x:c r="E29" s="3" t="n">
        <x:v>51.89</x:v>
      </x:c>
      <x:c r="F29" s="4" t="n">
        <x:f aca="0">ROUND(D29-B29,2)</x:f>
        <x:v>4.02</x:v>
      </x:c>
      <x:c r="G29" s="4" t="n">
        <x:f aca="0">ROUND(E29-C29,2)</x:f>
        <x:v>0.48</x:v>
      </x:c>
      <x:c r="H29" s="5" t="n">
        <x:f aca="0">RANK(B29,B$2:B$128,1)+(COUNTIF(B$2:B$128,B29)-1)/2</x:f>
        <x:v>100</x:v>
      </x:c>
      <x:c r="I29" s="5" t="n">
        <x:f aca="0">RANK(C29,C$2:C$128,1)+(COUNTIF(C$2:C$128,C29)-1)/2</x:f>
        <x:v>104</x:v>
      </x:c>
      <x:c r="J29" s="5" t="n">
        <x:f aca="0">RANK(D29,D$2:D$128,1)+(COUNTIF(D$2:D$128,D29)-1)/2</x:f>
        <x:v>117</x:v>
      </x:c>
      <x:c r="K29" s="5" t="n">
        <x:f aca="0">RANK(E29,E$2:E$128,1)+(COUNTIF(E$2:E$128,E29)-1)/2</x:f>
        <x:v>111</x:v>
      </x:c>
      <x:c r="L29" s="5" t="n">
        <x:f aca="0">RANK(F29,F$2:F$128,1)+(COUNTIF(F$2:F$128,F29)-1)/2</x:f>
        <x:v>123</x:v>
      </x:c>
      <x:c r="M29" s="5" t="n">
        <x:f aca="0">RANK(G29,G$2:G$128,1)+(COUNTIF(G$2:G$128,G29)-1)/2</x:f>
        <x:v>84</x:v>
      </x:c>
      <x:c r="N29" s="2" t="str">
        <x:f aca="0">IF(G29&gt;=1,"вырос",IF(G29&lt;=-1,"снизился","мало изменился"))</x:f>
        <x:v>мало изменился</x:v>
      </x:c>
    </x:row>
    <x:row r="30" ht="15" hidden="0">
      <x:c r="A30" s="2" t="s">
        <x:v>42</x:v>
      </x:c>
      <x:c r="B30" s="3" t="n">
        <x:v>11.66</x:v>
      </x:c>
      <x:c r="C30" s="3" t="n">
        <x:v>51</x:v>
      </x:c>
      <x:c r="D30" s="3" t="n">
        <x:v>8.6</x:v>
      </x:c>
      <x:c r="E30" s="3" t="n">
        <x:v>47.36</x:v>
      </x:c>
      <x:c r="F30" s="4" t="n">
        <x:f aca="0">ROUND(D30-B30,2)</x:f>
        <x:v>-3.06</x:v>
      </x:c>
      <x:c r="G30" s="4" t="n">
        <x:f aca="0">ROUND(E30-C30,2)</x:f>
        <x:v>-3.64</x:v>
      </x:c>
      <x:c r="H30" s="5" t="n">
        <x:f aca="0">RANK(B30,B$2:B$128,1)+(COUNTIF(B$2:B$128,B30)-1)/2</x:f>
        <x:v>102</x:v>
      </x:c>
      <x:c r="I30" s="5" t="n">
        <x:f aca="0">RANK(C30,C$2:C$128,1)+(COUNTIF(C$2:C$128,C30)-1)/2</x:f>
        <x:v>90</x:v>
      </x:c>
      <x:c r="J30" s="5" t="n">
        <x:f aca="0">RANK(D30,D$2:D$128,1)+(COUNTIF(D$2:D$128,D30)-1)/2</x:f>
        <x:v>83</x:v>
      </x:c>
      <x:c r="K30" s="5" t="n">
        <x:f aca="0">RANK(E30,E$2:E$128,1)+(COUNTIF(E$2:E$128,E30)-1)/2</x:f>
        <x:v>22</x:v>
      </x:c>
      <x:c r="L30" s="5" t="n">
        <x:f aca="0">RANK(F30,F$2:F$128,1)+(COUNTIF(F$2:F$128,F30)-1)/2</x:f>
        <x:v>8</x:v>
      </x:c>
      <x:c r="M30" s="5" t="n">
        <x:f aca="0">RANK(G30,G$2:G$128,1)+(COUNTIF(G$2:G$128,G30)-1)/2</x:f>
        <x:v>1</x:v>
      </x:c>
      <x:c r="N30" s="2" t="str">
        <x:f aca="0">IF(G30&gt;=1,"вырос",IF(G30&lt;=-1,"снизился","мало изменился"))</x:f>
        <x:v>снизился</x:v>
      </x:c>
    </x:row>
    <x:row r="31" ht="15" hidden="0">
      <x:c r="A31" s="2" t="s">
        <x:v>43</x:v>
      </x:c>
      <x:c r="B31" s="3" t="n">
        <x:v>15.75</x:v>
      </x:c>
      <x:c r="C31" s="3" t="n">
        <x:v>51.04</x:v>
      </x:c>
      <x:c r="D31" s="3" t="n">
        <x:v>15.52</x:v>
      </x:c>
      <x:c r="E31" s="3" t="n">
        <x:v>50.69</x:v>
      </x:c>
      <x:c r="F31" s="4" t="n">
        <x:f aca="0">ROUND(D31-B31,2)</x:f>
        <x:v>-0.23</x:v>
      </x:c>
      <x:c r="G31" s="4" t="n">
        <x:f aca="0">ROUND(E31-C31,2)</x:f>
        <x:v>-0.35</x:v>
      </x:c>
      <x:c r="H31" s="5" t="n">
        <x:f aca="0">RANK(B31,B$2:B$128,1)+(COUNTIF(B$2:B$128,B31)-1)/2</x:f>
        <x:v>117</x:v>
      </x:c>
      <x:c r="I31" s="5" t="n">
        <x:f aca="0">RANK(C31,C$2:C$128,1)+(COUNTIF(C$2:C$128,C31)-1)/2</x:f>
        <x:v>92</x:v>
      </x:c>
      <x:c r="J31" s="5" t="n">
        <x:f aca="0">RANK(D31,D$2:D$128,1)+(COUNTIF(D$2:D$128,D31)-1)/2</x:f>
        <x:v>116</x:v>
      </x:c>
      <x:c r="K31" s="5" t="n">
        <x:f aca="0">RANK(E31,E$2:E$128,1)+(COUNTIF(E$2:E$128,E31)-1)/2</x:f>
        <x:v>86</x:v>
      </x:c>
      <x:c r="L31" s="5" t="n">
        <x:f aca="0">RANK(F31,F$2:F$128,1)+(COUNTIF(F$2:F$128,F31)-1)/2</x:f>
        <x:v>61.5</x:v>
      </x:c>
      <x:c r="M31" s="5" t="n">
        <x:f aca="0">RANK(G31,G$2:G$128,1)+(COUNTIF(G$2:G$128,G31)-1)/2</x:f>
        <x:v>57</x:v>
      </x:c>
      <x:c r="N31" s="2" t="str">
        <x:f aca="0">IF(G31&gt;=1,"вырос",IF(G31&lt;=-1,"снизился","мало изменился"))</x:f>
        <x:v>мало изменился</x:v>
      </x:c>
    </x:row>
    <x:row r="32" ht="15" hidden="0">
      <x:c r="A32" s="2" t="s">
        <x:v>44</x:v>
      </x:c>
      <x:c r="B32" s="3" t="n">
        <x:v>2.38</x:v>
      </x:c>
      <x:c r="C32" s="3" t="n">
        <x:v>52</x:v>
      </x:c>
      <x:c r="D32" s="3" t="n">
        <x:v>1.84</x:v>
      </x:c>
      <x:c r="E32" s="3" t="n">
        <x:v>52.62</x:v>
      </x:c>
      <x:c r="F32" s="4" t="n">
        <x:f aca="0">ROUND(D32-B32,2)</x:f>
        <x:v>-0.54</x:v>
      </x:c>
      <x:c r="G32" s="4" t="n">
        <x:f aca="0">ROUND(E32-C32,2)</x:f>
        <x:v>0.62</x:v>
      </x:c>
      <x:c r="H32" s="5" t="n">
        <x:f aca="0">RANK(B32,B$2:B$128,1)+(COUNTIF(B$2:B$128,B32)-1)/2</x:f>
        <x:v>10</x:v>
      </x:c>
      <x:c r="I32" s="5" t="n">
        <x:f aca="0">RANK(C32,C$2:C$128,1)+(COUNTIF(C$2:C$128,C32)-1)/2</x:f>
        <x:v>109</x:v>
      </x:c>
      <x:c r="J32" s="5" t="n">
        <x:f aca="0">RANK(D32,D$2:D$128,1)+(COUNTIF(D$2:D$128,D32)-1)/2</x:f>
        <x:v>5</x:v>
      </x:c>
      <x:c r="K32" s="5" t="n">
        <x:f aca="0">RANK(E32,E$2:E$128,1)+(COUNTIF(E$2:E$128,E32)-1)/2</x:f>
        <x:v>122</x:v>
      </x:c>
      <x:c r="L32" s="5" t="n">
        <x:f aca="0">RANK(F32,F$2:F$128,1)+(COUNTIF(F$2:F$128,F32)-1)/2</x:f>
        <x:v>49</x:v>
      </x:c>
      <x:c r="M32" s="5" t="n">
        <x:f aca="0">RANK(G32,G$2:G$128,1)+(COUNTIF(G$2:G$128,G32)-1)/2</x:f>
        <x:v>92</x:v>
      </x:c>
      <x:c r="N32" s="2" t="str">
        <x:f aca="0">IF(G32&gt;=1,"вырос",IF(G32&lt;=-1,"снизился","мало изменился"))</x:f>
        <x:v>мало изменился</x:v>
      </x:c>
    </x:row>
    <x:row r="33" ht="15" hidden="0">
      <x:c r="A33" s="2" t="s">
        <x:v>45</x:v>
      </x:c>
      <x:c r="B33" s="3" t="n">
        <x:v>9.26</x:v>
      </x:c>
      <x:c r="C33" s="3" t="n">
        <x:v>51.39</x:v>
      </x:c>
      <x:c r="D33" s="3" t="n">
        <x:v>8.04</x:v>
      </x:c>
      <x:c r="E33" s="3" t="n">
        <x:v>50.47</x:v>
      </x:c>
      <x:c r="F33" s="4" t="n">
        <x:f aca="0">ROUND(D33-B33,2)</x:f>
        <x:v>-1.22</x:v>
      </x:c>
      <x:c r="G33" s="4" t="n">
        <x:f aca="0">ROUND(E33-C33,2)</x:f>
        <x:v>-0.92</x:v>
      </x:c>
      <x:c r="H33" s="5" t="n">
        <x:f aca="0">RANK(B33,B$2:B$128,1)+(COUNTIF(B$2:B$128,B33)-1)/2</x:f>
        <x:v>88</x:v>
      </x:c>
      <x:c r="I33" s="5" t="n">
        <x:f aca="0">RANK(C33,C$2:C$128,1)+(COUNTIF(C$2:C$128,C33)-1)/2</x:f>
        <x:v>100.5</x:v>
      </x:c>
      <x:c r="J33" s="5" t="n">
        <x:f aca="0">RANK(D33,D$2:D$128,1)+(COUNTIF(D$2:D$128,D33)-1)/2</x:f>
        <x:v>81</x:v>
      </x:c>
      <x:c r="K33" s="5" t="n">
        <x:f aca="0">RANK(E33,E$2:E$128,1)+(COUNTIF(E$2:E$128,E33)-1)/2</x:f>
        <x:v>80</x:v>
      </x:c>
      <x:c r="L33" s="5" t="n">
        <x:f aca="0">RANK(F33,F$2:F$128,1)+(COUNTIF(F$2:F$128,F33)-1)/2</x:f>
        <x:v>33</x:v>
      </x:c>
      <x:c r="M33" s="5" t="n">
        <x:f aca="0">RANK(G33,G$2:G$128,1)+(COUNTIF(G$2:G$128,G33)-1)/2</x:f>
        <x:v>38</x:v>
      </x:c>
      <x:c r="N33" s="2" t="str">
        <x:f aca="0">IF(G33&gt;=1,"вырос",IF(G33&lt;=-1,"снизился","мало изменился"))</x:f>
        <x:v>мало изменился</x:v>
      </x:c>
    </x:row>
    <x:row r="34" ht="15" hidden="0">
      <x:c r="A34" s="2" t="s">
        <x:v>46</x:v>
      </x:c>
      <x:c r="B34" s="3" t="n">
        <x:v>3.95</x:v>
      </x:c>
      <x:c r="C34" s="3" t="n">
        <x:v>50.78</x:v>
      </x:c>
      <x:c r="D34" s="3" t="n">
        <x:v>4.35</x:v>
      </x:c>
      <x:c r="E34" s="3" t="n">
        <x:v>51.09</x:v>
      </x:c>
      <x:c r="F34" s="4" t="n">
        <x:f aca="0">ROUND(D34-B34,2)</x:f>
        <x:v>0.4</x:v>
      </x:c>
      <x:c r="G34" s="4" t="n">
        <x:f aca="0">ROUND(E34-C34,2)</x:f>
        <x:v>0.31</x:v>
      </x:c>
      <x:c r="H34" s="5" t="n">
        <x:f aca="0">RANK(B34,B$2:B$128,1)+(COUNTIF(B$2:B$128,B34)-1)/2</x:f>
        <x:v>26</x:v>
      </x:c>
      <x:c r="I34" s="5" t="n">
        <x:f aca="0">RANK(C34,C$2:C$128,1)+(COUNTIF(C$2:C$128,C34)-1)/2</x:f>
        <x:v>83.5</x:v>
      </x:c>
      <x:c r="J34" s="5" t="n">
        <x:f aca="0">RANK(D34,D$2:D$128,1)+(COUNTIF(D$2:D$128,D34)-1)/2</x:f>
        <x:v>36</x:v>
      </x:c>
      <x:c r="K34" s="5" t="n">
        <x:f aca="0">RANK(E34,E$2:E$128,1)+(COUNTIF(E$2:E$128,E34)-1)/2</x:f>
        <x:v>97</x:v>
      </x:c>
      <x:c r="L34" s="5" t="n">
        <x:f aca="0">RANK(F34,F$2:F$128,1)+(COUNTIF(F$2:F$128,F34)-1)/2</x:f>
        <x:v>80</x:v>
      </x:c>
      <x:c r="M34" s="5" t="n">
        <x:f aca="0">RANK(G34,G$2:G$128,1)+(COUNTIF(G$2:G$128,G34)-1)/2</x:f>
        <x:v>79.5</x:v>
      </x:c>
      <x:c r="N34" s="2" t="str">
        <x:f aca="0">IF(G34&gt;=1,"вырос",IF(G34&lt;=-1,"снизился","мало изменился"))</x:f>
        <x:v>мало изменился</x:v>
      </x:c>
    </x:row>
    <x:row r="35" ht="15" hidden="0">
      <x:c r="A35" s="2" t="s">
        <x:v>47</x:v>
      </x:c>
      <x:c r="B35" s="3" t="n">
        <x:v>8.35</x:v>
      </x:c>
      <x:c r="C35" s="3" t="n">
        <x:v>51.4</x:v>
      </x:c>
      <x:c r="D35" s="3" t="n">
        <x:v>11.88</x:v>
      </x:c>
      <x:c r="E35" s="3" t="n">
        <x:v>51.26</x:v>
      </x:c>
      <x:c r="F35" s="4" t="n">
        <x:f aca="0">ROUND(D35-B35,2)</x:f>
        <x:v>3.53</x:v>
      </x:c>
      <x:c r="G35" s="4" t="n">
        <x:f aca="0">ROUND(E35-C35,2)</x:f>
        <x:v>-0.14</x:v>
      </x:c>
      <x:c r="H35" s="5" t="n">
        <x:f aca="0">RANK(B35,B$2:B$128,1)+(COUNTIF(B$2:B$128,B35)-1)/2</x:f>
        <x:v>80.5</x:v>
      </x:c>
      <x:c r="I35" s="5" t="n">
        <x:f aca="0">RANK(C35,C$2:C$128,1)+(COUNTIF(C$2:C$128,C35)-1)/2</x:f>
        <x:v>102.5</x:v>
      </x:c>
      <x:c r="J35" s="5" t="n">
        <x:f aca="0">RANK(D35,D$2:D$128,1)+(COUNTIF(D$2:D$128,D35)-1)/2</x:f>
        <x:v>102</x:v>
      </x:c>
      <x:c r="K35" s="5" t="n">
        <x:f aca="0">RANK(E35,E$2:E$128,1)+(COUNTIF(E$2:E$128,E35)-1)/2</x:f>
        <x:v>101</x:v>
      </x:c>
      <x:c r="L35" s="5" t="n">
        <x:f aca="0">RANK(F35,F$2:F$128,1)+(COUNTIF(F$2:F$128,F35)-1)/2</x:f>
        <x:v>122</x:v>
      </x:c>
      <x:c r="M35" s="5" t="n">
        <x:f aca="0">RANK(G35,G$2:G$128,1)+(COUNTIF(G$2:G$128,G35)-1)/2</x:f>
        <x:v>67</x:v>
      </x:c>
      <x:c r="N35" s="2" t="str">
        <x:f aca="0">IF(G35&gt;=1,"вырос",IF(G35&lt;=-1,"снизился","мало изменился"))</x:f>
        <x:v>мало изменился</x:v>
      </x:c>
    </x:row>
    <x:row r="36" ht="15" hidden="0">
      <x:c r="A36" s="2" t="s">
        <x:v>48</x:v>
      </x:c>
      <x:c r="B36" s="3" t="n">
        <x:v>5.19</x:v>
      </x:c>
      <x:c r="C36" s="3" t="n">
        <x:v>51.3</x:v>
      </x:c>
      <x:c r="D36" s="3" t="n">
        <x:v>5.4</x:v>
      </x:c>
      <x:c r="E36" s="3" t="n">
        <x:v>52.48</x:v>
      </x:c>
      <x:c r="F36" s="4" t="n">
        <x:f aca="0">ROUND(D36-B36,2)</x:f>
        <x:v>0.21</x:v>
      </x:c>
      <x:c r="G36" s="4" t="n">
        <x:f aca="0">ROUND(E36-C36,2)</x:f>
        <x:v>1.18</x:v>
      </x:c>
      <x:c r="H36" s="5" t="n">
        <x:f aca="0">RANK(B36,B$2:B$128,1)+(COUNTIF(B$2:B$128,B36)-1)/2</x:f>
        <x:v>45</x:v>
      </x:c>
      <x:c r="I36" s="5" t="n">
        <x:f aca="0">RANK(C36,C$2:C$128,1)+(COUNTIF(C$2:C$128,C36)-1)/2</x:f>
        <x:v>97</x:v>
      </x:c>
      <x:c r="J36" s="5" t="n">
        <x:f aca="0">RANK(D36,D$2:D$128,1)+(COUNTIF(D$2:D$128,D36)-1)/2</x:f>
        <x:v>51</x:v>
      </x:c>
      <x:c r="K36" s="5" t="n">
        <x:f aca="0">RANK(E36,E$2:E$128,1)+(COUNTIF(E$2:E$128,E36)-1)/2</x:f>
        <x:v>120</x:v>
      </x:c>
      <x:c r="L36" s="5" t="n">
        <x:f aca="0">RANK(F36,F$2:F$128,1)+(COUNTIF(F$2:F$128,F36)-1)/2</x:f>
        <x:v>76</x:v>
      </x:c>
      <x:c r="M36" s="5" t="n">
        <x:f aca="0">RANK(G36,G$2:G$128,1)+(COUNTIF(G$2:G$128,G36)-1)/2</x:f>
        <x:v>104</x:v>
      </x:c>
      <x:c r="N36" s="2" t="str">
        <x:f aca="0">IF(G36&gt;=1,"вырос",IF(G36&lt;=-1,"снизился","мало изменился"))</x:f>
        <x:v>вырос</x:v>
      </x:c>
    </x:row>
    <x:row r="37" ht="15" hidden="0">
      <x:c r="A37" s="2" t="s">
        <x:v>49</x:v>
      </x:c>
      <x:c r="B37" s="3" t="n">
        <x:v>7.67</x:v>
      </x:c>
      <x:c r="C37" s="3" t="n">
        <x:v>51.05</x:v>
      </x:c>
      <x:c r="D37" s="3" t="n">
        <x:v>6.57</x:v>
      </x:c>
      <x:c r="E37" s="3" t="n">
        <x:v>50.94</x:v>
      </x:c>
      <x:c r="F37" s="4" t="n">
        <x:f aca="0">ROUND(D37-B37,2)</x:f>
        <x:v>-1.1</x:v>
      </x:c>
      <x:c r="G37" s="4" t="n">
        <x:f aca="0">ROUND(E37-C37,2)</x:f>
        <x:v>-0.11</x:v>
      </x:c>
      <x:c r="H37" s="5" t="n">
        <x:f aca="0">RANK(B37,B$2:B$128,1)+(COUNTIF(B$2:B$128,B37)-1)/2</x:f>
        <x:v>77</x:v>
      </x:c>
      <x:c r="I37" s="5" t="n">
        <x:f aca="0">RANK(C37,C$2:C$128,1)+(COUNTIF(C$2:C$128,C37)-1)/2</x:f>
        <x:v>93</x:v>
      </x:c>
      <x:c r="J37" s="5" t="n">
        <x:f aca="0">RANK(D37,D$2:D$128,1)+(COUNTIF(D$2:D$128,D37)-1)/2</x:f>
        <x:v>71</x:v>
      </x:c>
      <x:c r="K37" s="5" t="n">
        <x:f aca="0">RANK(E37,E$2:E$128,1)+(COUNTIF(E$2:E$128,E37)-1)/2</x:f>
        <x:v>94</x:v>
      </x:c>
      <x:c r="L37" s="5" t="n">
        <x:f aca="0">RANK(F37,F$2:F$128,1)+(COUNTIF(F$2:F$128,F37)-1)/2</x:f>
        <x:v>36.5</x:v>
      </x:c>
      <x:c r="M37" s="5" t="n">
        <x:f aca="0">RANK(G37,G$2:G$128,1)+(COUNTIF(G$2:G$128,G37)-1)/2</x:f>
        <x:v>69</x:v>
      </x:c>
      <x:c r="N37" s="2" t="str">
        <x:f aca="0">IF(G37&gt;=1,"вырос",IF(G37&lt;=-1,"снизился","мало изменился"))</x:f>
        <x:v>мало изменился</x:v>
      </x:c>
    </x:row>
    <x:row r="38" ht="15" hidden="0">
      <x:c r="A38" s="2" t="s">
        <x:v>50</x:v>
      </x:c>
      <x:c r="B38" s="3" t="n">
        <x:v>24.2</x:v>
      </x:c>
      <x:c r="C38" s="3" t="n">
        <x:v>49.57</x:v>
      </x:c>
      <x:c r="D38" s="3" t="n">
        <x:v>25.37</x:v>
      </x:c>
      <x:c r="E38" s="3" t="n">
        <x:v>49.13</x:v>
      </x:c>
      <x:c r="F38" s="4" t="n">
        <x:f aca="0">ROUND(D38-B38,2)</x:f>
        <x:v>1.17</x:v>
      </x:c>
      <x:c r="G38" s="4" t="n">
        <x:f aca="0">ROUND(E38-C38,2)</x:f>
        <x:v>-0.44</x:v>
      </x:c>
      <x:c r="H38" s="5" t="n">
        <x:f aca="0">RANK(B38,B$2:B$128,1)+(COUNTIF(B$2:B$128,B38)-1)/2</x:f>
        <x:v>126</x:v>
      </x:c>
      <x:c r="I38" s="5" t="n">
        <x:f aca="0">RANK(C38,C$2:C$128,1)+(COUNTIF(C$2:C$128,C38)-1)/2</x:f>
        <x:v>59</x:v>
      </x:c>
      <x:c r="J38" s="5" t="n">
        <x:f aca="0">RANK(D38,D$2:D$128,1)+(COUNTIF(D$2:D$128,D38)-1)/2</x:f>
        <x:v>126</x:v>
      </x:c>
      <x:c r="K38" s="5" t="n">
        <x:f aca="0">RANK(E38,E$2:E$128,1)+(COUNTIF(E$2:E$128,E38)-1)/2</x:f>
        <x:v>45.5</x:v>
      </x:c>
      <x:c r="L38" s="5" t="n">
        <x:f aca="0">RANK(F38,F$2:F$128,1)+(COUNTIF(F$2:F$128,F38)-1)/2</x:f>
        <x:v>90</x:v>
      </x:c>
      <x:c r="M38" s="5" t="n">
        <x:f aca="0">RANK(G38,G$2:G$128,1)+(COUNTIF(G$2:G$128,G38)-1)/2</x:f>
        <x:v>52</x:v>
      </x:c>
      <x:c r="N38" s="2" t="str">
        <x:f aca="0">IF(G38&gt;=1,"вырос",IF(G38&lt;=-1,"снизился","мало изменился"))</x:f>
        <x:v>мало изменился</x:v>
      </x:c>
    </x:row>
    <x:row r="39" ht="15" hidden="0">
      <x:c r="A39" s="2" t="s">
        <x:v>51</x:v>
      </x:c>
      <x:c r="B39" s="3" t="n">
        <x:v>6.58</x:v>
      </x:c>
      <x:c r="C39" s="3" t="n">
        <x:v>51.31</x:v>
      </x:c>
      <x:c r="D39" s="3" t="n">
        <x:v>9.08</x:v>
      </x:c>
      <x:c r="E39" s="3" t="n">
        <x:v>51.16</x:v>
      </x:c>
      <x:c r="F39" s="4" t="n">
        <x:f aca="0">ROUND(D39-B39,2)</x:f>
        <x:v>2.5</x:v>
      </x:c>
      <x:c r="G39" s="4" t="n">
        <x:f aca="0">ROUND(E39-C39,2)</x:f>
        <x:v>-0.15</x:v>
      </x:c>
      <x:c r="H39" s="5" t="n">
        <x:f aca="0">RANK(B39,B$2:B$128,1)+(COUNTIF(B$2:B$128,B39)-1)/2</x:f>
        <x:v>65</x:v>
      </x:c>
      <x:c r="I39" s="5" t="n">
        <x:f aca="0">RANK(C39,C$2:C$128,1)+(COUNTIF(C$2:C$128,C39)-1)/2</x:f>
        <x:v>98</x:v>
      </x:c>
      <x:c r="J39" s="5" t="n">
        <x:f aca="0">RANK(D39,D$2:D$128,1)+(COUNTIF(D$2:D$128,D39)-1)/2</x:f>
        <x:v>86.5</x:v>
      </x:c>
      <x:c r="K39" s="5" t="n">
        <x:f aca="0">RANK(E39,E$2:E$128,1)+(COUNTIF(E$2:E$128,E39)-1)/2</x:f>
        <x:v>100</x:v>
      </x:c>
      <x:c r="L39" s="5" t="n">
        <x:f aca="0">RANK(F39,F$2:F$128,1)+(COUNTIF(F$2:F$128,F39)-1)/2</x:f>
        <x:v>110</x:v>
      </x:c>
      <x:c r="M39" s="5" t="n">
        <x:f aca="0">RANK(G39,G$2:G$128,1)+(COUNTIF(G$2:G$128,G39)-1)/2</x:f>
        <x:v>66</x:v>
      </x:c>
      <x:c r="N39" s="2" t="str">
        <x:f aca="0">IF(G39&gt;=1,"вырос",IF(G39&lt;=-1,"снизился","мало изменился"))</x:f>
        <x:v>мало изменился</x:v>
      </x:c>
    </x:row>
    <x:row r="40" ht="15" hidden="0">
      <x:c r="A40" s="2" t="s">
        <x:v>52</x:v>
      </x:c>
      <x:c r="B40" s="3" t="n">
        <x:v>18.52</x:v>
      </x:c>
      <x:c r="C40" s="3" t="n">
        <x:v>49.89</x:v>
      </x:c>
      <x:c r="D40" s="3" t="n">
        <x:v>16.82</x:v>
      </x:c>
      <x:c r="E40" s="3" t="n">
        <x:v>47.58</x:v>
      </x:c>
      <x:c r="F40" s="4" t="n">
        <x:f aca="0">ROUND(D40-B40,2)</x:f>
        <x:v>-1.7</x:v>
      </x:c>
      <x:c r="G40" s="4" t="n">
        <x:f aca="0">ROUND(E40-C40,2)</x:f>
        <x:v>-2.31</x:v>
      </x:c>
      <x:c r="H40" s="5" t="n">
        <x:f aca="0">RANK(B40,B$2:B$128,1)+(COUNTIF(B$2:B$128,B40)-1)/2</x:f>
        <x:v>123</x:v>
      </x:c>
      <x:c r="I40" s="5" t="n">
        <x:f aca="0">RANK(C40,C$2:C$128,1)+(COUNTIF(C$2:C$128,C40)-1)/2</x:f>
        <x:v>66</x:v>
      </x:c>
      <x:c r="J40" s="5" t="n">
        <x:f aca="0">RANK(D40,D$2:D$128,1)+(COUNTIF(D$2:D$128,D40)-1)/2</x:f>
        <x:v>121</x:v>
      </x:c>
      <x:c r="K40" s="5" t="n">
        <x:f aca="0">RANK(E40,E$2:E$128,1)+(COUNTIF(E$2:E$128,E40)-1)/2</x:f>
        <x:v>26</x:v>
      </x:c>
      <x:c r="L40" s="5" t="n">
        <x:f aca="0">RANK(F40,F$2:F$128,1)+(COUNTIF(F$2:F$128,F40)-1)/2</x:f>
        <x:v>25</x:v>
      </x:c>
      <x:c r="M40" s="5" t="n">
        <x:f aca="0">RANK(G40,G$2:G$128,1)+(COUNTIF(G$2:G$128,G40)-1)/2</x:f>
        <x:v>10</x:v>
      </x:c>
      <x:c r="N40" s="2" t="str">
        <x:f aca="0">IF(G40&gt;=1,"вырос",IF(G40&lt;=-1,"снизился","мало изменился"))</x:f>
        <x:v>снизился</x:v>
      </x:c>
    </x:row>
    <x:row r="41" ht="15" hidden="0">
      <x:c r="A41" s="2" t="s">
        <x:v>53</x:v>
      </x:c>
      <x:c r="B41" s="3" t="n">
        <x:v>5.02</x:v>
      </x:c>
      <x:c r="C41" s="3" t="n">
        <x:v>51.32</x:v>
      </x:c>
      <x:c r="D41" s="3" t="n">
        <x:v>6.51</x:v>
      </x:c>
      <x:c r="E41" s="3" t="n">
        <x:v>51.57</x:v>
      </x:c>
      <x:c r="F41" s="4" t="n">
        <x:f aca="0">ROUND(D41-B41,2)</x:f>
        <x:v>1.49</x:v>
      </x:c>
      <x:c r="G41" s="4" t="n">
        <x:f aca="0">ROUND(E41-C41,2)</x:f>
        <x:v>0.25</x:v>
      </x:c>
      <x:c r="H41" s="5" t="n">
        <x:f aca="0">RANK(B41,B$2:B$128,1)+(COUNTIF(B$2:B$128,B41)-1)/2</x:f>
        <x:v>41.5</x:v>
      </x:c>
      <x:c r="I41" s="5" t="n">
        <x:f aca="0">RANK(C41,C$2:C$128,1)+(COUNTIF(C$2:C$128,C41)-1)/2</x:f>
        <x:v>99</x:v>
      </x:c>
      <x:c r="J41" s="5" t="n">
        <x:f aca="0">RANK(D41,D$2:D$128,1)+(COUNTIF(D$2:D$128,D41)-1)/2</x:f>
        <x:v>70</x:v>
      </x:c>
      <x:c r="K41" s="5" t="n">
        <x:f aca="0">RANK(E41,E$2:E$128,1)+(COUNTIF(E$2:E$128,E41)-1)/2</x:f>
        <x:v>103</x:v>
      </x:c>
      <x:c r="L41" s="5" t="n">
        <x:f aca="0">RANK(F41,F$2:F$128,1)+(COUNTIF(F$2:F$128,F41)-1)/2</x:f>
        <x:v>100</x:v>
      </x:c>
      <x:c r="M41" s="5" t="n">
        <x:f aca="0">RANK(G41,G$2:G$128,1)+(COUNTIF(G$2:G$128,G41)-1)/2</x:f>
        <x:v>76</x:v>
      </x:c>
      <x:c r="N41" s="2" t="str">
        <x:f aca="0">IF(G41&gt;=1,"вырос",IF(G41&lt;=-1,"снизился","мало изменился"))</x:f>
        <x:v>мало изменился</x:v>
      </x:c>
    </x:row>
    <x:row r="42" ht="15" hidden="0">
      <x:c r="A42" s="2" t="s">
        <x:v>54</x:v>
      </x:c>
      <x:c r="B42" s="3" t="n">
        <x:v>6.85</x:v>
      </x:c>
      <x:c r="C42" s="3" t="n">
        <x:v>50.78</x:v>
      </x:c>
      <x:c r="D42" s="3" t="n">
        <x:v>13.13</x:v>
      </x:c>
      <x:c r="E42" s="3" t="n">
        <x:v>52.5</x:v>
      </x:c>
      <x:c r="F42" s="4" t="n">
        <x:f aca="0">ROUND(D42-B42,2)</x:f>
        <x:v>6.28</x:v>
      </x:c>
      <x:c r="G42" s="4" t="n">
        <x:f aca="0">ROUND(E42-C42,2)</x:f>
        <x:v>1.72</x:v>
      </x:c>
      <x:c r="H42" s="5" t="n">
        <x:f aca="0">RANK(B42,B$2:B$128,1)+(COUNTIF(B$2:B$128,B42)-1)/2</x:f>
        <x:v>70</x:v>
      </x:c>
      <x:c r="I42" s="5" t="n">
        <x:f aca="0">RANK(C42,C$2:C$128,1)+(COUNTIF(C$2:C$128,C42)-1)/2</x:f>
        <x:v>83.5</x:v>
      </x:c>
      <x:c r="J42" s="5" t="n">
        <x:f aca="0">RANK(D42,D$2:D$128,1)+(COUNTIF(D$2:D$128,D42)-1)/2</x:f>
        <x:v>106</x:v>
      </x:c>
      <x:c r="K42" s="5" t="n">
        <x:f aca="0">RANK(E42,E$2:E$128,1)+(COUNTIF(E$2:E$128,E42)-1)/2</x:f>
        <x:v>121</x:v>
      </x:c>
      <x:c r="L42" s="5" t="n">
        <x:f aca="0">RANK(F42,F$2:F$128,1)+(COUNTIF(F$2:F$128,F42)-1)/2</x:f>
        <x:v>127</x:v>
      </x:c>
      <x:c r="M42" s="5" t="n">
        <x:f aca="0">RANK(G42,G$2:G$128,1)+(COUNTIF(G$2:G$128,G42)-1)/2</x:f>
        <x:v>112</x:v>
      </x:c>
      <x:c r="N42" s="2" t="str">
        <x:f aca="0">IF(G42&gt;=1,"вырос",IF(G42&lt;=-1,"снизился","мало изменился"))</x:f>
        <x:v>вырос</x:v>
      </x:c>
    </x:row>
    <x:row r="43" ht="15" hidden="0">
      <x:c r="A43" s="2" t="s">
        <x:v>55</x:v>
      </x:c>
      <x:c r="B43" s="3" t="n">
        <x:v>7.39</x:v>
      </x:c>
      <x:c r="C43" s="3" t="n">
        <x:v>51.08</x:v>
      </x:c>
      <x:c r="D43" s="3" t="n">
        <x:v>6.48</x:v>
      </x:c>
      <x:c r="E43" s="3" t="n">
        <x:v>50.05</x:v>
      </x:c>
      <x:c r="F43" s="4" t="n">
        <x:f aca="0">ROUND(D43-B43,2)</x:f>
        <x:v>-0.91</x:v>
      </x:c>
      <x:c r="G43" s="4" t="n">
        <x:f aca="0">ROUND(E43-C43,2)</x:f>
        <x:v>-1.03</x:v>
      </x:c>
      <x:c r="H43" s="5" t="n">
        <x:f aca="0">RANK(B43,B$2:B$128,1)+(COUNTIF(B$2:B$128,B43)-1)/2</x:f>
        <x:v>76</x:v>
      </x:c>
      <x:c r="I43" s="5" t="n">
        <x:f aca="0">RANK(C43,C$2:C$128,1)+(COUNTIF(C$2:C$128,C43)-1)/2</x:f>
        <x:v>94</x:v>
      </x:c>
      <x:c r="J43" s="5" t="n">
        <x:f aca="0">RANK(D43,D$2:D$128,1)+(COUNTIF(D$2:D$128,D43)-1)/2</x:f>
        <x:v>68.5</x:v>
      </x:c>
      <x:c r="K43" s="5" t="n">
        <x:f aca="0">RANK(E43,E$2:E$128,1)+(COUNTIF(E$2:E$128,E43)-1)/2</x:f>
        <x:v>71</x:v>
      </x:c>
      <x:c r="L43" s="5" t="n">
        <x:f aca="0">RANK(F43,F$2:F$128,1)+(COUNTIF(F$2:F$128,F43)-1)/2</x:f>
        <x:v>40</x:v>
      </x:c>
      <x:c r="M43" s="5" t="n">
        <x:f aca="0">RANK(G43,G$2:G$128,1)+(COUNTIF(G$2:G$128,G43)-1)/2</x:f>
        <x:v>34</x:v>
      </x:c>
      <x:c r="N43" s="2" t="str">
        <x:f aca="0">IF(G43&gt;=1,"вырос",IF(G43&lt;=-1,"снизился","мало изменился"))</x:f>
        <x:v>снизился</x:v>
      </x:c>
    </x:row>
    <x:row r="44" ht="15" hidden="0">
      <x:c r="A44" s="2" t="s">
        <x:v>56</x:v>
      </x:c>
      <x:c r="B44" s="3" t="n">
        <x:v>4.74</x:v>
      </x:c>
      <x:c r="C44" s="3" t="n">
        <x:v>51.11</x:v>
      </x:c>
      <x:c r="D44" s="3" t="n">
        <x:v>3.89</x:v>
      </x:c>
      <x:c r="E44" s="3" t="n">
        <x:v>48.62</x:v>
      </x:c>
      <x:c r="F44" s="4" t="n">
        <x:f aca="0">ROUND(D44-B44,2)</x:f>
        <x:v>-0.85</x:v>
      </x:c>
      <x:c r="G44" s="4" t="n">
        <x:f aca="0">ROUND(E44-C44,2)</x:f>
        <x:v>-2.49</x:v>
      </x:c>
      <x:c r="H44" s="5" t="n">
        <x:f aca="0">RANK(B44,B$2:B$128,1)+(COUNTIF(B$2:B$128,B44)-1)/2</x:f>
        <x:v>35</x:v>
      </x:c>
      <x:c r="I44" s="5" t="n">
        <x:f aca="0">RANK(C44,C$2:C$128,1)+(COUNTIF(C$2:C$128,C44)-1)/2</x:f>
        <x:v>95</x:v>
      </x:c>
      <x:c r="J44" s="5" t="n">
        <x:f aca="0">RANK(D44,D$2:D$128,1)+(COUNTIF(D$2:D$128,D44)-1)/2</x:f>
        <x:v>23</x:v>
      </x:c>
      <x:c r="K44" s="5" t="n">
        <x:f aca="0">RANK(E44,E$2:E$128,1)+(COUNTIF(E$2:E$128,E44)-1)/2</x:f>
        <x:v>37</x:v>
      </x:c>
      <x:c r="L44" s="5" t="n">
        <x:f aca="0">RANK(F44,F$2:F$128,1)+(COUNTIF(F$2:F$128,F44)-1)/2</x:f>
        <x:v>42</x:v>
      </x:c>
      <x:c r="M44" s="5" t="n">
        <x:f aca="0">RANK(G44,G$2:G$128,1)+(COUNTIF(G$2:G$128,G44)-1)/2</x:f>
        <x:v>8</x:v>
      </x:c>
      <x:c r="N44" s="2" t="str">
        <x:f aca="0">IF(G44&gt;=1,"вырос",IF(G44&lt;=-1,"снизился","мало изменился"))</x:f>
        <x:v>снизился</x:v>
      </x:c>
    </x:row>
    <x:row r="45" ht="15" hidden="0">
      <x:c r="A45" s="2" t="s">
        <x:v>57</x:v>
      </x:c>
      <x:c r="B45" s="3" t="n">
        <x:v>4.97</x:v>
      </x:c>
      <x:c r="C45" s="3" t="n">
        <x:v>51.02</x:v>
      </x:c>
      <x:c r="D45" s="3" t="n">
        <x:v>4.64</x:v>
      </x:c>
      <x:c r="E45" s="3" t="n">
        <x:v>49.07</x:v>
      </x:c>
      <x:c r="F45" s="4" t="n">
        <x:f aca="0">ROUND(D45-B45,2)</x:f>
        <x:v>-0.33</x:v>
      </x:c>
      <x:c r="G45" s="4" t="n">
        <x:f aca="0">ROUND(E45-C45,2)</x:f>
        <x:v>-1.95</x:v>
      </x:c>
      <x:c r="H45" s="5" t="n">
        <x:f aca="0">RANK(B45,B$2:B$128,1)+(COUNTIF(B$2:B$128,B45)-1)/2</x:f>
        <x:v>39.5</x:v>
      </x:c>
      <x:c r="I45" s="5" t="n">
        <x:f aca="0">RANK(C45,C$2:C$128,1)+(COUNTIF(C$2:C$128,C45)-1)/2</x:f>
        <x:v>91</x:v>
      </x:c>
      <x:c r="J45" s="5" t="n">
        <x:f aca="0">RANK(D45,D$2:D$128,1)+(COUNTIF(D$2:D$128,D45)-1)/2</x:f>
        <x:v>39</x:v>
      </x:c>
      <x:c r="K45" s="5" t="n">
        <x:f aca="0">RANK(E45,E$2:E$128,1)+(COUNTIF(E$2:E$128,E45)-1)/2</x:f>
        <x:v>43</x:v>
      </x:c>
      <x:c r="L45" s="5" t="n">
        <x:f aca="0">RANK(F45,F$2:F$128,1)+(COUNTIF(F$2:F$128,F45)-1)/2</x:f>
        <x:v>55.5</x:v>
      </x:c>
      <x:c r="M45" s="5" t="n">
        <x:f aca="0">RANK(G45,G$2:G$128,1)+(COUNTIF(G$2:G$128,G45)-1)/2</x:f>
        <x:v>16</x:v>
      </x:c>
      <x:c r="N45" s="2" t="str">
        <x:f aca="0">IF(G45&gt;=1,"вырос",IF(G45&lt;=-1,"снизился","мало изменился"))</x:f>
        <x:v>снизился</x:v>
      </x:c>
    </x:row>
    <x:row r="46" ht="15" hidden="0">
      <x:c r="A46" s="2" t="s">
        <x:v>58</x:v>
      </x:c>
      <x:c r="B46" s="3" t="n">
        <x:v>5.09</x:v>
      </x:c>
      <x:c r="C46" s="3" t="n">
        <x:v>50.99</x:v>
      </x:c>
      <x:c r="D46" s="3" t="n">
        <x:v>5.68</x:v>
      </x:c>
      <x:c r="E46" s="3" t="n">
        <x:v>48.72</x:v>
      </x:c>
      <x:c r="F46" s="4" t="n">
        <x:f aca="0">ROUND(D46-B46,2)</x:f>
        <x:v>0.59</x:v>
      </x:c>
      <x:c r="G46" s="4" t="n">
        <x:f aca="0">ROUND(E46-C46,2)</x:f>
        <x:v>-2.27</x:v>
      </x:c>
      <x:c r="H46" s="5" t="n">
        <x:f aca="0">RANK(B46,B$2:B$128,1)+(COUNTIF(B$2:B$128,B46)-1)/2</x:f>
        <x:v>43</x:v>
      </x:c>
      <x:c r="I46" s="5" t="n">
        <x:f aca="0">RANK(C46,C$2:C$128,1)+(COUNTIF(C$2:C$128,C46)-1)/2</x:f>
        <x:v>89</x:v>
      </x:c>
      <x:c r="J46" s="5" t="n">
        <x:f aca="0">RANK(D46,D$2:D$128,1)+(COUNTIF(D$2:D$128,D46)-1)/2</x:f>
        <x:v>57</x:v>
      </x:c>
      <x:c r="K46" s="5" t="n">
        <x:f aca="0">RANK(E46,E$2:E$128,1)+(COUNTIF(E$2:E$128,E46)-1)/2</x:f>
        <x:v>38</x:v>
      </x:c>
      <x:c r="L46" s="5" t="n">
        <x:f aca="0">RANK(F46,F$2:F$128,1)+(COUNTIF(F$2:F$128,F46)-1)/2</x:f>
        <x:v>83</x:v>
      </x:c>
      <x:c r="M46" s="5" t="n">
        <x:f aca="0">RANK(G46,G$2:G$128,1)+(COUNTIF(G$2:G$128,G46)-1)/2</x:f>
        <x:v>11</x:v>
      </x:c>
      <x:c r="N46" s="2" t="str">
        <x:f aca="0">IF(G46&gt;=1,"вырос",IF(G46&lt;=-1,"снизился","мало изменился"))</x:f>
        <x:v>снизился</x:v>
      </x:c>
    </x:row>
    <x:row r="47" ht="15" hidden="0">
      <x:c r="A47" s="2" t="s">
        <x:v>59</x:v>
      </x:c>
      <x:c r="B47" s="3" t="n">
        <x:v>4.97</x:v>
      </x:c>
      <x:c r="C47" s="3" t="n">
        <x:v>50.48</x:v>
      </x:c>
      <x:c r="D47" s="3" t="n">
        <x:v>3.55</x:v>
      </x:c>
      <x:c r="E47" s="3" t="n">
        <x:v>50.12</x:v>
      </x:c>
      <x:c r="F47" s="4" t="n">
        <x:f aca="0">ROUND(D47-B47,2)</x:f>
        <x:v>-1.42</x:v>
      </x:c>
      <x:c r="G47" s="4" t="n">
        <x:f aca="0">ROUND(E47-C47,2)</x:f>
        <x:v>-0.36</x:v>
      </x:c>
      <x:c r="H47" s="5" t="n">
        <x:f aca="0">RANK(B47,B$2:B$128,1)+(COUNTIF(B$2:B$128,B47)-1)/2</x:f>
        <x:v>39.5</x:v>
      </x:c>
      <x:c r="I47" s="5" t="n">
        <x:f aca="0">RANK(C47,C$2:C$128,1)+(COUNTIF(C$2:C$128,C47)-1)/2</x:f>
        <x:v>77</x:v>
      </x:c>
      <x:c r="J47" s="5" t="n">
        <x:f aca="0">RANK(D47,D$2:D$128,1)+(COUNTIF(D$2:D$128,D47)-1)/2</x:f>
        <x:v>18</x:v>
      </x:c>
      <x:c r="K47" s="5" t="n">
        <x:f aca="0">RANK(E47,E$2:E$128,1)+(COUNTIF(E$2:E$128,E47)-1)/2</x:f>
        <x:v>73.5</x:v>
      </x:c>
      <x:c r="L47" s="5" t="n">
        <x:f aca="0">RANK(F47,F$2:F$128,1)+(COUNTIF(F$2:F$128,F47)-1)/2</x:f>
        <x:v>28</x:v>
      </x:c>
      <x:c r="M47" s="5" t="n">
        <x:f aca="0">RANK(G47,G$2:G$128,1)+(COUNTIF(G$2:G$128,G47)-1)/2</x:f>
        <x:v>55.5</x:v>
      </x:c>
      <x:c r="N47" s="2" t="str">
        <x:f aca="0">IF(G47&gt;=1,"вырос",IF(G47&lt;=-1,"снизился","мало изменился"))</x:f>
        <x:v>мало изменился</x:v>
      </x:c>
    </x:row>
    <x:row r="48" ht="15" hidden="0">
      <x:c r="A48" s="2" t="s">
        <x:v>60</x:v>
      </x:c>
      <x:c r="B48" s="3" t="n">
        <x:v>6.78</x:v>
      </x:c>
      <x:c r="C48" s="3" t="n">
        <x:v>48.95</x:v>
      </x:c>
      <x:c r="D48" s="3" t="n">
        <x:v>5.43</x:v>
      </x:c>
      <x:c r="E48" s="3" t="n">
        <x:v>47.03</x:v>
      </x:c>
      <x:c r="F48" s="4" t="n">
        <x:f aca="0">ROUND(D48-B48,2)</x:f>
        <x:v>-1.35</x:v>
      </x:c>
      <x:c r="G48" s="4" t="n">
        <x:f aca="0">ROUND(E48-C48,2)</x:f>
        <x:v>-1.92</x:v>
      </x:c>
      <x:c r="H48" s="5" t="n">
        <x:f aca="0">RANK(B48,B$2:B$128,1)+(COUNTIF(B$2:B$128,B48)-1)/2</x:f>
        <x:v>66</x:v>
      </x:c>
      <x:c r="I48" s="5" t="n">
        <x:f aca="0">RANK(C48,C$2:C$128,1)+(COUNTIF(C$2:C$128,C48)-1)/2</x:f>
        <x:v>44</x:v>
      </x:c>
      <x:c r="J48" s="5" t="n">
        <x:f aca="0">RANK(D48,D$2:D$128,1)+(COUNTIF(D$2:D$128,D48)-1)/2</x:f>
        <x:v>53</x:v>
      </x:c>
      <x:c r="K48" s="5" t="n">
        <x:f aca="0">RANK(E48,E$2:E$128,1)+(COUNTIF(E$2:E$128,E48)-1)/2</x:f>
        <x:v>16.5</x:v>
      </x:c>
      <x:c r="L48" s="5" t="n">
        <x:f aca="0">RANK(F48,F$2:F$128,1)+(COUNTIF(F$2:F$128,F48)-1)/2</x:f>
        <x:v>29</x:v>
      </x:c>
      <x:c r="M48" s="5" t="n">
        <x:f aca="0">RANK(G48,G$2:G$128,1)+(COUNTIF(G$2:G$128,G48)-1)/2</x:f>
        <x:v>17</x:v>
      </x:c>
      <x:c r="N48" s="2" t="str">
        <x:f aca="0">IF(G48&gt;=1,"вырос",IF(G48&lt;=-1,"снизился","мало изменился"))</x:f>
        <x:v>снизился</x:v>
      </x:c>
    </x:row>
    <x:row r="49" ht="15" hidden="0">
      <x:c r="A49" s="2" t="s">
        <x:v>61</x:v>
      </x:c>
      <x:c r="B49" s="3" t="n">
        <x:v>4.82</x:v>
      </x:c>
      <x:c r="C49" s="3" t="n">
        <x:v>50.9</x:v>
      </x:c>
      <x:c r="D49" s="3" t="n">
        <x:v>4.9</x:v>
      </x:c>
      <x:c r="E49" s="3" t="n">
        <x:v>49.38</x:v>
      </x:c>
      <x:c r="F49" s="4" t="n">
        <x:f aca="0">ROUND(D49-B49,2)</x:f>
        <x:v>0.08</x:v>
      </x:c>
      <x:c r="G49" s="4" t="n">
        <x:f aca="0">ROUND(E49-C49,2)</x:f>
        <x:v>-1.52</x:v>
      </x:c>
      <x:c r="H49" s="5" t="n">
        <x:f aca="0">RANK(B49,B$2:B$128,1)+(COUNTIF(B$2:B$128,B49)-1)/2</x:f>
        <x:v>37</x:v>
      </x:c>
      <x:c r="I49" s="5" t="n">
        <x:f aca="0">RANK(C49,C$2:C$128,1)+(COUNTIF(C$2:C$128,C49)-1)/2</x:f>
        <x:v>88</x:v>
      </x:c>
      <x:c r="J49" s="5" t="n">
        <x:f aca="0">RANK(D49,D$2:D$128,1)+(COUNTIF(D$2:D$128,D49)-1)/2</x:f>
        <x:v>42</x:v>
      </x:c>
      <x:c r="K49" s="5" t="n">
        <x:f aca="0">RANK(E49,E$2:E$128,1)+(COUNTIF(E$2:E$128,E49)-1)/2</x:f>
        <x:v>48</x:v>
      </x:c>
      <x:c r="L49" s="5" t="n">
        <x:f aca="0">RANK(F49,F$2:F$128,1)+(COUNTIF(F$2:F$128,F49)-1)/2</x:f>
        <x:v>72</x:v>
      </x:c>
      <x:c r="M49" s="5" t="n">
        <x:f aca="0">RANK(G49,G$2:G$128,1)+(COUNTIF(G$2:G$128,G49)-1)/2</x:f>
        <x:v>23</x:v>
      </x:c>
      <x:c r="N49" s="2" t="str">
        <x:f aca="0">IF(G49&gt;=1,"вырос",IF(G49&lt;=-1,"снизился","мало изменился"))</x:f>
        <x:v>снизился</x:v>
      </x:c>
    </x:row>
    <x:row r="50" ht="15" hidden="0">
      <x:c r="A50" s="2" t="s">
        <x:v>62</x:v>
      </x:c>
      <x:c r="B50" s="3" t="n">
        <x:v>5.66</x:v>
      </x:c>
      <x:c r="C50" s="3" t="n">
        <x:v>50.76</x:v>
      </x:c>
      <x:c r="D50" s="3" t="n">
        <x:v>6.29</x:v>
      </x:c>
      <x:c r="E50" s="3" t="n">
        <x:v>52.22</x:v>
      </x:c>
      <x:c r="F50" s="4" t="n">
        <x:f aca="0">ROUND(D50-B50,2)</x:f>
        <x:v>0.63</x:v>
      </x:c>
      <x:c r="G50" s="4" t="n">
        <x:f aca="0">ROUND(E50-C50,2)</x:f>
        <x:v>1.46</x:v>
      </x:c>
      <x:c r="H50" s="5" t="n">
        <x:f aca="0">RANK(B50,B$2:B$128,1)+(COUNTIF(B$2:B$128,B50)-1)/2</x:f>
        <x:v>56</x:v>
      </x:c>
      <x:c r="I50" s="5" t="n">
        <x:f aca="0">RANK(C50,C$2:C$128,1)+(COUNTIF(C$2:C$128,C50)-1)/2</x:f>
        <x:v>82</x:v>
      </x:c>
      <x:c r="J50" s="5" t="n">
        <x:f aca="0">RANK(D50,D$2:D$128,1)+(COUNTIF(D$2:D$128,D50)-1)/2</x:f>
        <x:v>63.5</x:v>
      </x:c>
      <x:c r="K50" s="5" t="n">
        <x:f aca="0">RANK(E50,E$2:E$128,1)+(COUNTIF(E$2:E$128,E50)-1)/2</x:f>
        <x:v>118</x:v>
      </x:c>
      <x:c r="L50" s="5" t="n">
        <x:f aca="0">RANK(F50,F$2:F$128,1)+(COUNTIF(F$2:F$128,F50)-1)/2</x:f>
        <x:v>85</x:v>
      </x:c>
      <x:c r="M50" s="5" t="n">
        <x:f aca="0">RANK(G50,G$2:G$128,1)+(COUNTIF(G$2:G$128,G50)-1)/2</x:f>
        <x:v>110</x:v>
      </x:c>
      <x:c r="N50" s="2" t="str">
        <x:f aca="0">IF(G50&gt;=1,"вырос",IF(G50&lt;=-1,"снизился","мало изменился"))</x:f>
        <x:v>вырос</x:v>
      </x:c>
    </x:row>
    <x:row r="51" ht="15" hidden="0">
      <x:c r="A51" s="2" t="s">
        <x:v>63</x:v>
      </x:c>
      <x:c r="B51" s="3" t="n">
        <x:v>4.44</x:v>
      </x:c>
      <x:c r="C51" s="3" t="n">
        <x:v>50.72</x:v>
      </x:c>
      <x:c r="D51" s="3" t="n">
        <x:v>7.57</x:v>
      </x:c>
      <x:c r="E51" s="3" t="n">
        <x:v>52.03</x:v>
      </x:c>
      <x:c r="F51" s="4" t="n">
        <x:f aca="0">ROUND(D51-B51,2)</x:f>
        <x:v>3.13</x:v>
      </x:c>
      <x:c r="G51" s="4" t="n">
        <x:f aca="0">ROUND(E51-C51,2)</x:f>
        <x:v>1.31</x:v>
      </x:c>
      <x:c r="H51" s="5" t="n">
        <x:f aca="0">RANK(B51,B$2:B$128,1)+(COUNTIF(B$2:B$128,B51)-1)/2</x:f>
        <x:v>32</x:v>
      </x:c>
      <x:c r="I51" s="5" t="n">
        <x:f aca="0">RANK(C51,C$2:C$128,1)+(COUNTIF(C$2:C$128,C51)-1)/2</x:f>
        <x:v>81</x:v>
      </x:c>
      <x:c r="J51" s="5" t="n">
        <x:f aca="0">RANK(D51,D$2:D$128,1)+(COUNTIF(D$2:D$128,D51)-1)/2</x:f>
        <x:v>79</x:v>
      </x:c>
      <x:c r="K51" s="5" t="n">
        <x:f aca="0">RANK(E51,E$2:E$128,1)+(COUNTIF(E$2:E$128,E51)-1)/2</x:f>
        <x:v>115</x:v>
      </x:c>
      <x:c r="L51" s="5" t="n">
        <x:f aca="0">RANK(F51,F$2:F$128,1)+(COUNTIF(F$2:F$128,F51)-1)/2</x:f>
        <x:v>115.5</x:v>
      </x:c>
      <x:c r="M51" s="5" t="n">
        <x:f aca="0">RANK(G51,G$2:G$128,1)+(COUNTIF(G$2:G$128,G51)-1)/2</x:f>
        <x:v>106</x:v>
      </x:c>
      <x:c r="N51" s="2" t="str">
        <x:f aca="0">IF(G51&gt;=1,"вырос",IF(G51&lt;=-1,"снизился","мало изменился"))</x:f>
        <x:v>вырос</x:v>
      </x:c>
    </x:row>
    <x:row r="52" ht="15" hidden="0">
      <x:c r="A52" s="2" t="s">
        <x:v>64</x:v>
      </x:c>
      <x:c r="B52" s="3" t="n">
        <x:v>12.01</x:v>
      </x:c>
      <x:c r="C52" s="3" t="n">
        <x:v>49.95</x:v>
      </x:c>
      <x:c r="D52" s="3" t="n">
        <x:v>6.46</x:v>
      </x:c>
      <x:c r="E52" s="3" t="n">
        <x:v>47.03</x:v>
      </x:c>
      <x:c r="F52" s="4" t="n">
        <x:f aca="0">ROUND(D52-B52,2)</x:f>
        <x:v>-5.55</x:v>
      </x:c>
      <x:c r="G52" s="4" t="n">
        <x:f aca="0">ROUND(E52-C52,2)</x:f>
        <x:v>-2.92</x:v>
      </x:c>
      <x:c r="H52" s="5" t="n">
        <x:f aca="0">RANK(B52,B$2:B$128,1)+(COUNTIF(B$2:B$128,B52)-1)/2</x:f>
        <x:v>104</x:v>
      </x:c>
      <x:c r="I52" s="5" t="n">
        <x:f aca="0">RANK(C52,C$2:C$128,1)+(COUNTIF(C$2:C$128,C52)-1)/2</x:f>
        <x:v>67</x:v>
      </x:c>
      <x:c r="J52" s="5" t="n">
        <x:f aca="0">RANK(D52,D$2:D$128,1)+(COUNTIF(D$2:D$128,D52)-1)/2</x:f>
        <x:v>67</x:v>
      </x:c>
      <x:c r="K52" s="5" t="n">
        <x:f aca="0">RANK(E52,E$2:E$128,1)+(COUNTIF(E$2:E$128,E52)-1)/2</x:f>
        <x:v>16.5</x:v>
      </x:c>
      <x:c r="L52" s="5" t="n">
        <x:f aca="0">RANK(F52,F$2:F$128,1)+(COUNTIF(F$2:F$128,F52)-1)/2</x:f>
        <x:v>3</x:v>
      </x:c>
      <x:c r="M52" s="5" t="n">
        <x:f aca="0">RANK(G52,G$2:G$128,1)+(COUNTIF(G$2:G$128,G52)-1)/2</x:f>
        <x:v>5</x:v>
      </x:c>
      <x:c r="N52" s="2" t="str">
        <x:f aca="0">IF(G52&gt;=1,"вырос",IF(G52&lt;=-1,"снизился","мало изменился"))</x:f>
        <x:v>снизился</x:v>
      </x:c>
    </x:row>
    <x:row r="53" ht="15" hidden="0">
      <x:c r="A53" s="2" t="s">
        <x:v>65</x:v>
      </x:c>
      <x:c r="B53" s="3" t="n">
        <x:v>13.11</x:v>
      </x:c>
      <x:c r="C53" s="3" t="n">
        <x:v>49.56</x:v>
      </x:c>
      <x:c r="D53" s="3" t="n">
        <x:v>10.94</x:v>
      </x:c>
      <x:c r="E53" s="3" t="n">
        <x:v>50.04</x:v>
      </x:c>
      <x:c r="F53" s="4" t="n">
        <x:f aca="0">ROUND(D53-B53,2)</x:f>
        <x:v>-2.17</x:v>
      </x:c>
      <x:c r="G53" s="4" t="n">
        <x:f aca="0">ROUND(E53-C53,2)</x:f>
        <x:v>0.48</x:v>
      </x:c>
      <x:c r="H53" s="5" t="n">
        <x:f aca="0">RANK(B53,B$2:B$128,1)+(COUNTIF(B$2:B$128,B53)-1)/2</x:f>
        <x:v>108</x:v>
      </x:c>
      <x:c r="I53" s="5" t="n">
        <x:f aca="0">RANK(C53,C$2:C$128,1)+(COUNTIF(C$2:C$128,C53)-1)/2</x:f>
        <x:v>58</x:v>
      </x:c>
      <x:c r="J53" s="5" t="n">
        <x:f aca="0">RANK(D53,D$2:D$128,1)+(COUNTIF(D$2:D$128,D53)-1)/2</x:f>
        <x:v>94</x:v>
      </x:c>
      <x:c r="K53" s="5" t="n">
        <x:f aca="0">RANK(E53,E$2:E$128,1)+(COUNTIF(E$2:E$128,E53)-1)/2</x:f>
        <x:v>70</x:v>
      </x:c>
      <x:c r="L53" s="5" t="n">
        <x:f aca="0">RANK(F53,F$2:F$128,1)+(COUNTIF(F$2:F$128,F53)-1)/2</x:f>
        <x:v>17</x:v>
      </x:c>
      <x:c r="M53" s="5" t="n">
        <x:f aca="0">RANK(G53,G$2:G$128,1)+(COUNTIF(G$2:G$128,G53)-1)/2</x:f>
        <x:v>84</x:v>
      </x:c>
      <x:c r="N53" s="2" t="str">
        <x:f aca="0">IF(G53&gt;=1,"вырос",IF(G53&lt;=-1,"снизился","мало изменился"))</x:f>
        <x:v>мало изменился</x:v>
      </x:c>
    </x:row>
    <x:row r="54" ht="15" hidden="0">
      <x:c r="A54" s="2" t="s">
        <x:v>66</x:v>
      </x:c>
      <x:c r="B54" s="3" t="n">
        <x:v>3.63</x:v>
      </x:c>
      <x:c r="C54" s="3" t="n">
        <x:v>50.82</x:v>
      </x:c>
      <x:c r="D54" s="3" t="n">
        <x:v>4.97</x:v>
      </x:c>
      <x:c r="E54" s="3" t="n">
        <x:v>49.81</x:v>
      </x:c>
      <x:c r="F54" s="4" t="n">
        <x:f aca="0">ROUND(D54-B54,2)</x:f>
        <x:v>1.34</x:v>
      </x:c>
      <x:c r="G54" s="4" t="n">
        <x:f aca="0">ROUND(E54-C54,2)</x:f>
        <x:v>-1.01</x:v>
      </x:c>
      <x:c r="H54" s="5" t="n">
        <x:f aca="0">RANK(B54,B$2:B$128,1)+(COUNTIF(B$2:B$128,B54)-1)/2</x:f>
        <x:v>24</x:v>
      </x:c>
      <x:c r="I54" s="5" t="n">
        <x:f aca="0">RANK(C54,C$2:C$128,1)+(COUNTIF(C$2:C$128,C54)-1)/2</x:f>
        <x:v>86.5</x:v>
      </x:c>
      <x:c r="J54" s="5" t="n">
        <x:f aca="0">RANK(D54,D$2:D$128,1)+(COUNTIF(D$2:D$128,D54)-1)/2</x:f>
        <x:v>43.5</x:v>
      </x:c>
      <x:c r="K54" s="5" t="n">
        <x:f aca="0">RANK(E54,E$2:E$128,1)+(COUNTIF(E$2:E$128,E54)-1)/2</x:f>
        <x:v>60</x:v>
      </x:c>
      <x:c r="L54" s="5" t="n">
        <x:f aca="0">RANK(F54,F$2:F$128,1)+(COUNTIF(F$2:F$128,F54)-1)/2</x:f>
        <x:v>91.5</x:v>
      </x:c>
      <x:c r="M54" s="5" t="n">
        <x:f aca="0">RANK(G54,G$2:G$128,1)+(COUNTIF(G$2:G$128,G54)-1)/2</x:f>
        <x:v>35</x:v>
      </x:c>
      <x:c r="N54" s="2" t="str">
        <x:f aca="0">IF(G54&gt;=1,"вырос",IF(G54&lt;=-1,"снизился","мало изменился"))</x:f>
        <x:v>снизился</x:v>
      </x:c>
    </x:row>
    <x:row r="55" ht="15" hidden="0">
      <x:c r="A55" s="2" t="s">
        <x:v>67</x:v>
      </x:c>
      <x:c r="B55" s="3" t="n">
        <x:v>4.58</x:v>
      </x:c>
      <x:c r="C55" s="3" t="n">
        <x:v>50.47</x:v>
      </x:c>
      <x:c r="D55" s="3" t="n">
        <x:v>3.77</x:v>
      </x:c>
      <x:c r="E55" s="3" t="n">
        <x:v>51.13</x:v>
      </x:c>
      <x:c r="F55" s="4" t="n">
        <x:f aca="0">ROUND(D55-B55,2)</x:f>
        <x:v>-0.81</x:v>
      </x:c>
      <x:c r="G55" s="4" t="n">
        <x:f aca="0">ROUND(E55-C55,2)</x:f>
        <x:v>0.66</x:v>
      </x:c>
      <x:c r="H55" s="5" t="n">
        <x:f aca="0">RANK(B55,B$2:B$128,1)+(COUNTIF(B$2:B$128,B55)-1)/2</x:f>
        <x:v>33</x:v>
      </x:c>
      <x:c r="I55" s="5" t="n">
        <x:f aca="0">RANK(C55,C$2:C$128,1)+(COUNTIF(C$2:C$128,C55)-1)/2</x:f>
        <x:v>76</x:v>
      </x:c>
      <x:c r="J55" s="5" t="n">
        <x:f aca="0">RANK(D55,D$2:D$128,1)+(COUNTIF(D$2:D$128,D55)-1)/2</x:f>
        <x:v>21.5</x:v>
      </x:c>
      <x:c r="K55" s="5" t="n">
        <x:f aca="0">RANK(E55,E$2:E$128,1)+(COUNTIF(E$2:E$128,E55)-1)/2</x:f>
        <x:v>99</x:v>
      </x:c>
      <x:c r="L55" s="5" t="n">
        <x:f aca="0">RANK(F55,F$2:F$128,1)+(COUNTIF(F$2:F$128,F55)-1)/2</x:f>
        <x:v>43</x:v>
      </x:c>
      <x:c r="M55" s="5" t="n">
        <x:f aca="0">RANK(G55,G$2:G$128,1)+(COUNTIF(G$2:G$128,G55)-1)/2</x:f>
        <x:v>93</x:v>
      </x:c>
      <x:c r="N55" s="2" t="str">
        <x:f aca="0">IF(G55&gt;=1,"вырос",IF(G55&lt;=-1,"снизился","мало изменился"))</x:f>
        <x:v>мало изменился</x:v>
      </x:c>
    </x:row>
    <x:row r="56" ht="15" hidden="0">
      <x:c r="A56" s="2" t="s">
        <x:v>68</x:v>
      </x:c>
      <x:c r="B56" s="3" t="n">
        <x:v>9.85</x:v>
      </x:c>
      <x:c r="C56" s="3" t="n">
        <x:v>49.38</x:v>
      </x:c>
      <x:c r="D56" s="3" t="n">
        <x:v>7.7</x:v>
      </x:c>
      <x:c r="E56" s="3" t="n">
        <x:v>48.55</x:v>
      </x:c>
      <x:c r="F56" s="4" t="n">
        <x:f aca="0">ROUND(D56-B56,2)</x:f>
        <x:v>-2.15</x:v>
      </x:c>
      <x:c r="G56" s="4" t="n">
        <x:f aca="0">ROUND(E56-C56,2)</x:f>
        <x:v>-0.83</x:v>
      </x:c>
      <x:c r="H56" s="5" t="n">
        <x:f aca="0">RANK(B56,B$2:B$128,1)+(COUNTIF(B$2:B$128,B56)-1)/2</x:f>
        <x:v>93</x:v>
      </x:c>
      <x:c r="I56" s="5" t="n">
        <x:f aca="0">RANK(C56,C$2:C$128,1)+(COUNTIF(C$2:C$128,C56)-1)/2</x:f>
        <x:v>52</x:v>
      </x:c>
      <x:c r="J56" s="5" t="n">
        <x:f aca="0">RANK(D56,D$2:D$128,1)+(COUNTIF(D$2:D$128,D56)-1)/2</x:f>
        <x:v>80</x:v>
      </x:c>
      <x:c r="K56" s="5" t="n">
        <x:f aca="0">RANK(E56,E$2:E$128,1)+(COUNTIF(E$2:E$128,E56)-1)/2</x:f>
        <x:v>36</x:v>
      </x:c>
      <x:c r="L56" s="5" t="n">
        <x:f aca="0">RANK(F56,F$2:F$128,1)+(COUNTIF(F$2:F$128,F56)-1)/2</x:f>
        <x:v>18</x:v>
      </x:c>
      <x:c r="M56" s="5" t="n">
        <x:f aca="0">RANK(G56,G$2:G$128,1)+(COUNTIF(G$2:G$128,G56)-1)/2</x:f>
        <x:v>41</x:v>
      </x:c>
      <x:c r="N56" s="2" t="str">
        <x:f aca="0">IF(G56&gt;=1,"вырос",IF(G56&lt;=-1,"снизился","мало изменился"))</x:f>
        <x:v>мало изменился</x:v>
      </x:c>
    </x:row>
    <x:row r="57" ht="15" hidden="0">
      <x:c r="A57" s="2" t="s">
        <x:v>69</x:v>
      </x:c>
      <x:c r="B57" s="3" t="n">
        <x:v>3.3</x:v>
      </x:c>
      <x:c r="C57" s="3" t="n">
        <x:v>50.79</x:v>
      </x:c>
      <x:c r="D57" s="3" t="n">
        <x:v>3.9</x:v>
      </x:c>
      <x:c r="E57" s="3" t="n">
        <x:v>50.5</x:v>
      </x:c>
      <x:c r="F57" s="4" t="n">
        <x:f aca="0">ROUND(D57-B57,2)</x:f>
        <x:v>0.6</x:v>
      </x:c>
      <x:c r="G57" s="4" t="n">
        <x:f aca="0">ROUND(E57-C57,2)</x:f>
        <x:v>-0.29</x:v>
      </x:c>
      <x:c r="H57" s="5" t="n">
        <x:f aca="0">RANK(B57,B$2:B$128,1)+(COUNTIF(B$2:B$128,B57)-1)/2</x:f>
        <x:v>17.5</x:v>
      </x:c>
      <x:c r="I57" s="5" t="n">
        <x:f aca="0">RANK(C57,C$2:C$128,1)+(COUNTIF(C$2:C$128,C57)-1)/2</x:f>
        <x:v>85</x:v>
      </x:c>
      <x:c r="J57" s="5" t="n">
        <x:f aca="0">RANK(D57,D$2:D$128,1)+(COUNTIF(D$2:D$128,D57)-1)/2</x:f>
        <x:v>24</x:v>
      </x:c>
      <x:c r="K57" s="5" t="n">
        <x:f aca="0">RANK(E57,E$2:E$128,1)+(COUNTIF(E$2:E$128,E57)-1)/2</x:f>
        <x:v>81</x:v>
      </x:c>
      <x:c r="L57" s="5" t="n">
        <x:f aca="0">RANK(F57,F$2:F$128,1)+(COUNTIF(F$2:F$128,F57)-1)/2</x:f>
        <x:v>84</x:v>
      </x:c>
      <x:c r="M57" s="5" t="n">
        <x:f aca="0">RANK(G57,G$2:G$128,1)+(COUNTIF(G$2:G$128,G57)-1)/2</x:f>
        <x:v>62</x:v>
      </x:c>
      <x:c r="N57" s="2" t="str">
        <x:f aca="0">IF(G57&gt;=1,"вырос",IF(G57&lt;=-1,"снизился","мало изменился"))</x:f>
        <x:v>мало изменился</x:v>
      </x:c>
    </x:row>
    <x:row r="58" ht="15" hidden="0">
      <x:c r="A58" s="2" t="s">
        <x:v>70</x:v>
      </x:c>
      <x:c r="B58" s="3" t="n">
        <x:v>8.51</x:v>
      </x:c>
      <x:c r="C58" s="3" t="n">
        <x:v>50.26</x:v>
      </x:c>
      <x:c r="D58" s="3" t="n">
        <x:v>6.72</x:v>
      </x:c>
      <x:c r="E58" s="3" t="n">
        <x:v>49.69</x:v>
      </x:c>
      <x:c r="F58" s="4" t="n">
        <x:f aca="0">ROUND(D58-B58,2)</x:f>
        <x:v>-1.79</x:v>
      </x:c>
      <x:c r="G58" s="4" t="n">
        <x:f aca="0">ROUND(E58-C58,2)</x:f>
        <x:v>-0.57</x:v>
      </x:c>
      <x:c r="H58" s="5" t="n">
        <x:f aca="0">RANK(B58,B$2:B$128,1)+(COUNTIF(B$2:B$128,B58)-1)/2</x:f>
        <x:v>84</x:v>
      </x:c>
      <x:c r="I58" s="5" t="n">
        <x:f aca="0">RANK(C58,C$2:C$128,1)+(COUNTIF(C$2:C$128,C58)-1)/2</x:f>
        <x:v>74</x:v>
      </x:c>
      <x:c r="J58" s="5" t="n">
        <x:f aca="0">RANK(D58,D$2:D$128,1)+(COUNTIF(D$2:D$128,D58)-1)/2</x:f>
        <x:v>72</x:v>
      </x:c>
      <x:c r="K58" s="5" t="n">
        <x:f aca="0">RANK(E58,E$2:E$128,1)+(COUNTIF(E$2:E$128,E58)-1)/2</x:f>
        <x:v>55</x:v>
      </x:c>
      <x:c r="L58" s="5" t="n">
        <x:f aca="0">RANK(F58,F$2:F$128,1)+(COUNTIF(F$2:F$128,F58)-1)/2</x:f>
        <x:v>23</x:v>
      </x:c>
      <x:c r="M58" s="5" t="n">
        <x:f aca="0">RANK(G58,G$2:G$128,1)+(COUNTIF(G$2:G$128,G58)-1)/2</x:f>
        <x:v>47</x:v>
      </x:c>
      <x:c r="N58" s="2" t="str">
        <x:f aca="0">IF(G58&gt;=1,"вырос",IF(G58&lt;=-1,"снизился","мало изменился"))</x:f>
        <x:v>мало изменился</x:v>
      </x:c>
    </x:row>
    <x:row r="59" ht="15" hidden="0">
      <x:c r="A59" s="2" t="s">
        <x:v>71</x:v>
      </x:c>
      <x:c r="B59" s="3" t="n">
        <x:v>9.84</x:v>
      </x:c>
      <x:c r="C59" s="3" t="n">
        <x:v>50.24</x:v>
      </x:c>
      <x:c r="D59" s="3" t="n">
        <x:v>12.38</x:v>
      </x:c>
      <x:c r="E59" s="3" t="n">
        <x:v>51.6</x:v>
      </x:c>
      <x:c r="F59" s="4" t="n">
        <x:f aca="0">ROUND(D59-B59,2)</x:f>
        <x:v>2.54</x:v>
      </x:c>
      <x:c r="G59" s="4" t="n">
        <x:f aca="0">ROUND(E59-C59,2)</x:f>
        <x:v>1.36</x:v>
      </x:c>
      <x:c r="H59" s="5" t="n">
        <x:f aca="0">RANK(B59,B$2:B$128,1)+(COUNTIF(B$2:B$128,B59)-1)/2</x:f>
        <x:v>92</x:v>
      </x:c>
      <x:c r="I59" s="5" t="n">
        <x:f aca="0">RANK(C59,C$2:C$128,1)+(COUNTIF(C$2:C$128,C59)-1)/2</x:f>
        <x:v>73</x:v>
      </x:c>
      <x:c r="J59" s="5" t="n">
        <x:f aca="0">RANK(D59,D$2:D$128,1)+(COUNTIF(D$2:D$128,D59)-1)/2</x:f>
        <x:v>105</x:v>
      </x:c>
      <x:c r="K59" s="5" t="n">
        <x:f aca="0">RANK(E59,E$2:E$128,1)+(COUNTIF(E$2:E$128,E59)-1)/2</x:f>
        <x:v>104</x:v>
      </x:c>
      <x:c r="L59" s="5" t="n">
        <x:f aca="0">RANK(F59,F$2:F$128,1)+(COUNTIF(F$2:F$128,F59)-1)/2</x:f>
        <x:v>111</x:v>
      </x:c>
      <x:c r="M59" s="5" t="n">
        <x:f aca="0">RANK(G59,G$2:G$128,1)+(COUNTIF(G$2:G$128,G59)-1)/2</x:f>
        <x:v>107</x:v>
      </x:c>
      <x:c r="N59" s="2" t="str">
        <x:f aca="0">IF(G59&gt;=1,"вырос",IF(G59&lt;=-1,"снизился","мало изменился"))</x:f>
        <x:v>вырос</x:v>
      </x:c>
    </x:row>
    <x:row r="60" ht="15" hidden="0">
      <x:c r="A60" s="2" t="s">
        <x:v>72</x:v>
      </x:c>
      <x:c r="B60" s="3" t="n">
        <x:v>4.23</x:v>
      </x:c>
      <x:c r="C60" s="3" t="n">
        <x:v>50.53</x:v>
      </x:c>
      <x:c r="D60" s="3" t="n">
        <x:v>4.12</x:v>
      </x:c>
      <x:c r="E60" s="3" t="n">
        <x:v>51.98</x:v>
      </x:c>
      <x:c r="F60" s="4" t="n">
        <x:f aca="0">ROUND(D60-B60,2)</x:f>
        <x:v>-0.11</x:v>
      </x:c>
      <x:c r="G60" s="4" t="n">
        <x:f aca="0">ROUND(E60-C60,2)</x:f>
        <x:v>1.45</x:v>
      </x:c>
      <x:c r="H60" s="5" t="n">
        <x:f aca="0">RANK(B60,B$2:B$128,1)+(COUNTIF(B$2:B$128,B60)-1)/2</x:f>
        <x:v>29</x:v>
      </x:c>
      <x:c r="I60" s="5" t="n">
        <x:f aca="0">RANK(C60,C$2:C$128,1)+(COUNTIF(C$2:C$128,C60)-1)/2</x:f>
        <x:v>79</x:v>
      </x:c>
      <x:c r="J60" s="5" t="n">
        <x:f aca="0">RANK(D60,D$2:D$128,1)+(COUNTIF(D$2:D$128,D60)-1)/2</x:f>
        <x:v>28</x:v>
      </x:c>
      <x:c r="K60" s="5" t="n">
        <x:f aca="0">RANK(E60,E$2:E$128,1)+(COUNTIF(E$2:E$128,E60)-1)/2</x:f>
        <x:v>114</x:v>
      </x:c>
      <x:c r="L60" s="5" t="n">
        <x:f aca="0">RANK(F60,F$2:F$128,1)+(COUNTIF(F$2:F$128,F60)-1)/2</x:f>
        <x:v>64</x:v>
      </x:c>
      <x:c r="M60" s="5" t="n">
        <x:f aca="0">RANK(G60,G$2:G$128,1)+(COUNTIF(G$2:G$128,G60)-1)/2</x:f>
        <x:v>109</x:v>
      </x:c>
      <x:c r="N60" s="2" t="str">
        <x:f aca="0">IF(G60&gt;=1,"вырос",IF(G60&lt;=-1,"снизился","мало изменился"))</x:f>
        <x:v>вырос</x:v>
      </x:c>
    </x:row>
    <x:row r="61" ht="15" hidden="0">
      <x:c r="A61" s="2" t="s">
        <x:v>73</x:v>
      </x:c>
      <x:c r="B61" s="3" t="n">
        <x:v>12.63</x:v>
      </x:c>
      <x:c r="C61" s="3" t="n">
        <x:v>49.79</x:v>
      </x:c>
      <x:c r="D61" s="3" t="n">
        <x:v>15.33</x:v>
      </x:c>
      <x:c r="E61" s="3" t="n">
        <x:v>50.93</x:v>
      </x:c>
      <x:c r="F61" s="4" t="n">
        <x:f aca="0">ROUND(D61-B61,2)</x:f>
        <x:v>2.7</x:v>
      </x:c>
      <x:c r="G61" s="4" t="n">
        <x:f aca="0">ROUND(E61-C61,2)</x:f>
        <x:v>1.14</x:v>
      </x:c>
      <x:c r="H61" s="5" t="n">
        <x:f aca="0">RANK(B61,B$2:B$128,1)+(COUNTIF(B$2:B$128,B61)-1)/2</x:f>
        <x:v>106</x:v>
      </x:c>
      <x:c r="I61" s="5" t="n">
        <x:f aca="0">RANK(C61,C$2:C$128,1)+(COUNTIF(C$2:C$128,C61)-1)/2</x:f>
        <x:v>62</x:v>
      </x:c>
      <x:c r="J61" s="5" t="n">
        <x:f aca="0">RANK(D61,D$2:D$128,1)+(COUNTIF(D$2:D$128,D61)-1)/2</x:f>
        <x:v>115</x:v>
      </x:c>
      <x:c r="K61" s="5" t="n">
        <x:f aca="0">RANK(E61,E$2:E$128,1)+(COUNTIF(E$2:E$128,E61)-1)/2</x:f>
        <x:v>92</x:v>
      </x:c>
      <x:c r="L61" s="5" t="n">
        <x:f aca="0">RANK(F61,F$2:F$128,1)+(COUNTIF(F$2:F$128,F61)-1)/2</x:f>
        <x:v>112</x:v>
      </x:c>
      <x:c r="M61" s="5" t="n">
        <x:f aca="0">RANK(G61,G$2:G$128,1)+(COUNTIF(G$2:G$128,G61)-1)/2</x:f>
        <x:v>103</x:v>
      </x:c>
      <x:c r="N61" s="2" t="str">
        <x:f aca="0">IF(G61&gt;=1,"вырос",IF(G61&lt;=-1,"снизился","мало изменился"))</x:f>
        <x:v>вырос</x:v>
      </x:c>
    </x:row>
    <x:row r="62" ht="15" hidden="0">
      <x:c r="A62" s="2" t="s">
        <x:v>74</x:v>
      </x:c>
      <x:c r="B62" s="3" t="n">
        <x:v>3.49</x:v>
      </x:c>
      <x:c r="C62" s="3" t="n">
        <x:v>50.46</x:v>
      </x:c>
      <x:c r="D62" s="3" t="n">
        <x:v>2.79</x:v>
      </x:c>
      <x:c r="E62" s="3" t="n">
        <x:v>51.31</x:v>
      </x:c>
      <x:c r="F62" s="4" t="n">
        <x:f aca="0">ROUND(D62-B62,2)</x:f>
        <x:v>-0.7</x:v>
      </x:c>
      <x:c r="G62" s="4" t="n">
        <x:f aca="0">ROUND(E62-C62,2)</x:f>
        <x:v>0.85</x:v>
      </x:c>
      <x:c r="H62" s="5" t="n">
        <x:f aca="0">RANK(B62,B$2:B$128,1)+(COUNTIF(B$2:B$128,B62)-1)/2</x:f>
        <x:v>21</x:v>
      </x:c>
      <x:c r="I62" s="5" t="n">
        <x:f aca="0">RANK(C62,C$2:C$128,1)+(COUNTIF(C$2:C$128,C62)-1)/2</x:f>
        <x:v>75</x:v>
      </x:c>
      <x:c r="J62" s="5" t="n">
        <x:f aca="0">RANK(D62,D$2:D$128,1)+(COUNTIF(D$2:D$128,D62)-1)/2</x:f>
        <x:v>14.5</x:v>
      </x:c>
      <x:c r="K62" s="5" t="n">
        <x:f aca="0">RANK(E62,E$2:E$128,1)+(COUNTIF(E$2:E$128,E62)-1)/2</x:f>
        <x:v>102</x:v>
      </x:c>
      <x:c r="L62" s="5" t="n">
        <x:f aca="0">RANK(F62,F$2:F$128,1)+(COUNTIF(F$2:F$128,F62)-1)/2</x:f>
        <x:v>46</x:v>
      </x:c>
      <x:c r="M62" s="5" t="n">
        <x:f aca="0">RANK(G62,G$2:G$128,1)+(COUNTIF(G$2:G$128,G62)-1)/2</x:f>
        <x:v>95</x:v>
      </x:c>
      <x:c r="N62" s="2" t="str">
        <x:f aca="0">IF(G62&gt;=1,"вырос",IF(G62&lt;=-1,"снизился","мало изменился"))</x:f>
        <x:v>мало изменился</x:v>
      </x:c>
    </x:row>
    <x:row r="63" ht="15" hidden="0">
      <x:c r="A63" s="2" t="s">
        <x:v>75</x:v>
      </x:c>
      <x:c r="B63" s="3" t="n">
        <x:v>7.16</x:v>
      </x:c>
      <x:c r="C63" s="3" t="n">
        <x:v>50.15</x:v>
      </x:c>
      <x:c r="D63" s="3" t="n">
        <x:v>7.23</x:v>
      </x:c>
      <x:c r="E63" s="3" t="n">
        <x:v>49.84</x:v>
      </x:c>
      <x:c r="F63" s="4" t="n">
        <x:f aca="0">ROUND(D63-B63,2)</x:f>
        <x:v>0.07</x:v>
      </x:c>
      <x:c r="G63" s="4" t="n">
        <x:f aca="0">ROUND(E63-C63,2)</x:f>
        <x:v>-0.31</x:v>
      </x:c>
      <x:c r="H63" s="5" t="n">
        <x:f aca="0">RANK(B63,B$2:B$128,1)+(COUNTIF(B$2:B$128,B63)-1)/2</x:f>
        <x:v>73</x:v>
      </x:c>
      <x:c r="I63" s="5" t="n">
        <x:f aca="0">RANK(C63,C$2:C$128,1)+(COUNTIF(C$2:C$128,C63)-1)/2</x:f>
        <x:v>69</x:v>
      </x:c>
      <x:c r="J63" s="5" t="n">
        <x:f aca="0">RANK(D63,D$2:D$128,1)+(COUNTIF(D$2:D$128,D63)-1)/2</x:f>
        <x:v>77</x:v>
      </x:c>
      <x:c r="K63" s="5" t="n">
        <x:f aca="0">RANK(E63,E$2:E$128,1)+(COUNTIF(E$2:E$128,E63)-1)/2</x:f>
        <x:v>61</x:v>
      </x:c>
      <x:c r="L63" s="5" t="n">
        <x:f aca="0">RANK(F63,F$2:F$128,1)+(COUNTIF(F$2:F$128,F63)-1)/2</x:f>
        <x:v>71</x:v>
      </x:c>
      <x:c r="M63" s="5" t="n">
        <x:f aca="0">RANK(G63,G$2:G$128,1)+(COUNTIF(G$2:G$128,G63)-1)/2</x:f>
        <x:v>60.5</x:v>
      </x:c>
      <x:c r="N63" s="2" t="str">
        <x:f aca="0">IF(G63&gt;=1,"вырос",IF(G63&lt;=-1,"снизился","мало изменился"))</x:f>
        <x:v>мало изменился</x:v>
      </x:c>
    </x:row>
    <x:row r="64" ht="15" hidden="0">
      <x:c r="A64" s="2" t="s">
        <x:v>76</x:v>
      </x:c>
      <x:c r="B64" s="3" t="n">
        <x:v>6.97</x:v>
      </x:c>
      <x:c r="C64" s="3" t="n">
        <x:v>50.22</x:v>
      </x:c>
      <x:c r="D64" s="3" t="n">
        <x:v>9.45</x:v>
      </x:c>
      <x:c r="E64" s="3" t="n">
        <x:v>50.23</x:v>
      </x:c>
      <x:c r="F64" s="4" t="n">
        <x:f aca="0">ROUND(D64-B64,2)</x:f>
        <x:v>2.48</x:v>
      </x:c>
      <x:c r="G64" s="4" t="n">
        <x:f aca="0">ROUND(E64-C64,2)</x:f>
        <x:v>0.01</x:v>
      </x:c>
      <x:c r="H64" s="5" t="n">
        <x:f aca="0">RANK(B64,B$2:B$128,1)+(COUNTIF(B$2:B$128,B64)-1)/2</x:f>
        <x:v>72</x:v>
      </x:c>
      <x:c r="I64" s="5" t="n">
        <x:f aca="0">RANK(C64,C$2:C$128,1)+(COUNTIF(C$2:C$128,C64)-1)/2</x:f>
        <x:v>72</x:v>
      </x:c>
      <x:c r="J64" s="5" t="n">
        <x:f aca="0">RANK(D64,D$2:D$128,1)+(COUNTIF(D$2:D$128,D64)-1)/2</x:f>
        <x:v>88</x:v>
      </x:c>
      <x:c r="K64" s="5" t="n">
        <x:f aca="0">RANK(E64,E$2:E$128,1)+(COUNTIF(E$2:E$128,E64)-1)/2</x:f>
        <x:v>76</x:v>
      </x:c>
      <x:c r="L64" s="5" t="n">
        <x:f aca="0">RANK(F64,F$2:F$128,1)+(COUNTIF(F$2:F$128,F64)-1)/2</x:f>
        <x:v>109</x:v>
      </x:c>
      <x:c r="M64" s="5" t="n">
        <x:f aca="0">RANK(G64,G$2:G$128,1)+(COUNTIF(G$2:G$128,G64)-1)/2</x:f>
        <x:v>73</x:v>
      </x:c>
      <x:c r="N64" s="2" t="str">
        <x:f aca="0">IF(G64&gt;=1,"вырос",IF(G64&lt;=-1,"снизился","мало изменился"))</x:f>
        <x:v>мало изменился</x:v>
      </x:c>
    </x:row>
    <x:row r="65" ht="15" hidden="0">
      <x:c r="A65" s="2" t="s">
        <x:v>77</x:v>
      </x:c>
      <x:c r="B65" s="3" t="n">
        <x:v>5.58</x:v>
      </x:c>
      <x:c r="C65" s="3" t="n">
        <x:v>50.21</x:v>
      </x:c>
      <x:c r="D65" s="3" t="n">
        <x:v>7.04</x:v>
      </x:c>
      <x:c r="E65" s="3" t="n">
        <x:v>49.89</x:v>
      </x:c>
      <x:c r="F65" s="4" t="n">
        <x:f aca="0">ROUND(D65-B65,2)</x:f>
        <x:v>1.46</x:v>
      </x:c>
      <x:c r="G65" s="4" t="n">
        <x:f aca="0">ROUND(E65-C65,2)</x:f>
        <x:v>-0.32</x:v>
      </x:c>
      <x:c r="H65" s="5" t="n">
        <x:f aca="0">RANK(B65,B$2:B$128,1)+(COUNTIF(B$2:B$128,B65)-1)/2</x:f>
        <x:v>54</x:v>
      </x:c>
      <x:c r="I65" s="5" t="n">
        <x:f aca="0">RANK(C65,C$2:C$128,1)+(COUNTIF(C$2:C$128,C65)-1)/2</x:f>
        <x:v>71</x:v>
      </x:c>
      <x:c r="J65" s="5" t="n">
        <x:f aca="0">RANK(D65,D$2:D$128,1)+(COUNTIF(D$2:D$128,D65)-1)/2</x:f>
        <x:v>76</x:v>
      </x:c>
      <x:c r="K65" s="5" t="n">
        <x:f aca="0">RANK(E65,E$2:E$128,1)+(COUNTIF(E$2:E$128,E65)-1)/2</x:f>
        <x:v>64</x:v>
      </x:c>
      <x:c r="L65" s="5" t="n">
        <x:f aca="0">RANK(F65,F$2:F$128,1)+(COUNTIF(F$2:F$128,F65)-1)/2</x:f>
        <x:v>99</x:v>
      </x:c>
      <x:c r="M65" s="5" t="n">
        <x:f aca="0">RANK(G65,G$2:G$128,1)+(COUNTIF(G$2:G$128,G65)-1)/2</x:f>
        <x:v>59</x:v>
      </x:c>
      <x:c r="N65" s="2" t="str">
        <x:f aca="0">IF(G65&gt;=1,"вырос",IF(G65&lt;=-1,"снизился","мало изменился"))</x:f>
        <x:v>мало изменился</x:v>
      </x:c>
    </x:row>
    <x:row r="66" ht="15" hidden="0">
      <x:c r="A66" s="2" t="s">
        <x:v>78</x:v>
      </x:c>
      <x:c r="B66" s="3" t="n">
        <x:v>18.17</x:v>
      </x:c>
      <x:c r="C66" s="3" t="n">
        <x:v>48.8</x:v>
      </x:c>
      <x:c r="D66" s="3" t="n">
        <x:v>14.39</x:v>
      </x:c>
      <x:c r="E66" s="3" t="n">
        <x:v>48.33</x:v>
      </x:c>
      <x:c r="F66" s="4" t="n">
        <x:f aca="0">ROUND(D66-B66,2)</x:f>
        <x:v>-3.78</x:v>
      </x:c>
      <x:c r="G66" s="4" t="n">
        <x:f aca="0">ROUND(E66-C66,2)</x:f>
        <x:v>-0.47</x:v>
      </x:c>
      <x:c r="H66" s="5" t="n">
        <x:f aca="0">RANK(B66,B$2:B$128,1)+(COUNTIF(B$2:B$128,B66)-1)/2</x:f>
        <x:v>121</x:v>
      </x:c>
      <x:c r="I66" s="5" t="n">
        <x:f aca="0">RANK(C66,C$2:C$128,1)+(COUNTIF(C$2:C$128,C66)-1)/2</x:f>
        <x:v>41</x:v>
      </x:c>
      <x:c r="J66" s="5" t="n">
        <x:f aca="0">RANK(D66,D$2:D$128,1)+(COUNTIF(D$2:D$128,D66)-1)/2</x:f>
        <x:v>111</x:v>
      </x:c>
      <x:c r="K66" s="5" t="n">
        <x:f aca="0">RANK(E66,E$2:E$128,1)+(COUNTIF(E$2:E$128,E66)-1)/2</x:f>
        <x:v>35</x:v>
      </x:c>
      <x:c r="L66" s="5" t="n">
        <x:f aca="0">RANK(F66,F$2:F$128,1)+(COUNTIF(F$2:F$128,F66)-1)/2</x:f>
        <x:v>6</x:v>
      </x:c>
      <x:c r="M66" s="5" t="n">
        <x:f aca="0">RANK(G66,G$2:G$128,1)+(COUNTIF(G$2:G$128,G66)-1)/2</x:f>
        <x:v>51</x:v>
      </x:c>
      <x:c r="N66" s="2" t="str">
        <x:f aca="0">IF(G66&gt;=1,"вырос",IF(G66&lt;=-1,"снизился","мало изменился"))</x:f>
        <x:v>мало изменился</x:v>
      </x:c>
    </x:row>
    <x:row r="67" ht="15" hidden="0">
      <x:c r="A67" s="2" t="s">
        <x:v>79</x:v>
      </x:c>
      <x:c r="B67" s="3" t="n">
        <x:v>1.27</x:v>
      </x:c>
      <x:c r="C67" s="3" t="n">
        <x:v>50.5</x:v>
      </x:c>
      <x:c r="D67" s="3" t="n">
        <x:v>1.14</x:v>
      </x:c>
      <x:c r="E67" s="3" t="n">
        <x:v>50.3</x:v>
      </x:c>
      <x:c r="F67" s="4" t="n">
        <x:f aca="0">ROUND(D67-B67,2)</x:f>
        <x:v>-0.13</x:v>
      </x:c>
      <x:c r="G67" s="4" t="n">
        <x:f aca="0">ROUND(E67-C67,2)</x:f>
        <x:v>-0.2</x:v>
      </x:c>
      <x:c r="H67" s="5" t="n">
        <x:f aca="0">RANK(B67,B$2:B$128,1)+(COUNTIF(B$2:B$128,B67)-1)/2</x:f>
        <x:v>2</x:v>
      </x:c>
      <x:c r="I67" s="5" t="n">
        <x:f aca="0">RANK(C67,C$2:C$128,1)+(COUNTIF(C$2:C$128,C67)-1)/2</x:f>
        <x:v>78</x:v>
      </x:c>
      <x:c r="J67" s="5" t="n">
        <x:f aca="0">RANK(D67,D$2:D$128,1)+(COUNTIF(D$2:D$128,D67)-1)/2</x:f>
        <x:v>2</x:v>
      </x:c>
      <x:c r="K67" s="5" t="n">
        <x:f aca="0">RANK(E67,E$2:E$128,1)+(COUNTIF(E$2:E$128,E67)-1)/2</x:f>
        <x:v>77</x:v>
      </x:c>
      <x:c r="L67" s="5" t="n">
        <x:f aca="0">RANK(F67,F$2:F$128,1)+(COUNTIF(F$2:F$128,F67)-1)/2</x:f>
        <x:v>63</x:v>
      </x:c>
      <x:c r="M67" s="5" t="n">
        <x:f aca="0">RANK(G67,G$2:G$128,1)+(COUNTIF(G$2:G$128,G67)-1)/2</x:f>
        <x:v>63</x:v>
      </x:c>
      <x:c r="N67" s="2" t="str">
        <x:f aca="0">IF(G67&gt;=1,"вырос",IF(G67&lt;=-1,"снизился","мало изменился"))</x:f>
        <x:v>мало изменился</x:v>
      </x:c>
    </x:row>
    <x:row r="68" ht="15" hidden="0">
      <x:c r="A68" s="2" t="s">
        <x:v>80</x:v>
      </x:c>
      <x:c r="B68" s="3" t="n">
        <x:v>6.79</x:v>
      </x:c>
      <x:c r="C68" s="3" t="n">
        <x:v>48.39</x:v>
      </x:c>
      <x:c r="D68" s="3" t="n">
        <x:v>5</x:v>
      </x:c>
      <x:c r="E68" s="3" t="n">
        <x:v>46.77</x:v>
      </x:c>
      <x:c r="F68" s="4" t="n">
        <x:f aca="0">ROUND(D68-B68,2)</x:f>
        <x:v>-1.79</x:v>
      </x:c>
      <x:c r="G68" s="4" t="n">
        <x:f aca="0">ROUND(E68-C68,2)</x:f>
        <x:v>-1.62</x:v>
      </x:c>
      <x:c r="H68" s="5" t="n">
        <x:f aca="0">RANK(B68,B$2:B$128,1)+(COUNTIF(B$2:B$128,B68)-1)/2</x:f>
        <x:v>67</x:v>
      </x:c>
      <x:c r="I68" s="5" t="n">
        <x:f aca="0">RANK(C68,C$2:C$128,1)+(COUNTIF(C$2:C$128,C68)-1)/2</x:f>
        <x:v>32</x:v>
      </x:c>
      <x:c r="J68" s="5" t="n">
        <x:f aca="0">RANK(D68,D$2:D$128,1)+(COUNTIF(D$2:D$128,D68)-1)/2</x:f>
        <x:v>45</x:v>
      </x:c>
      <x:c r="K68" s="5" t="n">
        <x:f aca="0">RANK(E68,E$2:E$128,1)+(COUNTIF(E$2:E$128,E68)-1)/2</x:f>
        <x:v>14</x:v>
      </x:c>
      <x:c r="L68" s="5" t="n">
        <x:f aca="0">RANK(F68,F$2:F$128,1)+(COUNTIF(F$2:F$128,F68)-1)/2</x:f>
        <x:v>23</x:v>
      </x:c>
      <x:c r="M68" s="5" t="n">
        <x:f aca="0">RANK(G68,G$2:G$128,1)+(COUNTIF(G$2:G$128,G68)-1)/2</x:f>
        <x:v>21</x:v>
      </x:c>
      <x:c r="N68" s="2" t="str">
        <x:f aca="0">IF(G68&gt;=1,"вырос",IF(G68&lt;=-1,"снизился","мало изменился"))</x:f>
        <x:v>снизился</x:v>
      </x:c>
    </x:row>
    <x:row r="69" ht="15" hidden="0">
      <x:c r="A69" s="2" t="s">
        <x:v>81</x:v>
      </x:c>
      <x:c r="B69" s="3" t="n">
        <x:v>18.97</x:v>
      </x:c>
      <x:c r="C69" s="3" t="n">
        <x:v>47.75</x:v>
      </x:c>
      <x:c r="D69" s="3" t="n">
        <x:v>19.08</x:v>
      </x:c>
      <x:c r="E69" s="3" t="n">
        <x:v>50.21</x:v>
      </x:c>
      <x:c r="F69" s="4" t="n">
        <x:f aca="0">ROUND(D69-B69,2)</x:f>
        <x:v>0.11</x:v>
      </x:c>
      <x:c r="G69" s="4" t="n">
        <x:f aca="0">ROUND(E69-C69,2)</x:f>
        <x:v>2.46</x:v>
      </x:c>
      <x:c r="H69" s="5" t="n">
        <x:f aca="0">RANK(B69,B$2:B$128,1)+(COUNTIF(B$2:B$128,B69)-1)/2</x:f>
        <x:v>124</x:v>
      </x:c>
      <x:c r="I69" s="5" t="n">
        <x:f aca="0">RANK(C69,C$2:C$128,1)+(COUNTIF(C$2:C$128,C69)-1)/2</x:f>
        <x:v>18</x:v>
      </x:c>
      <x:c r="J69" s="5" t="n">
        <x:f aca="0">RANK(D69,D$2:D$128,1)+(COUNTIF(D$2:D$128,D69)-1)/2</x:f>
        <x:v>123</x:v>
      </x:c>
      <x:c r="K69" s="5" t="n">
        <x:f aca="0">RANK(E69,E$2:E$128,1)+(COUNTIF(E$2:E$128,E69)-1)/2</x:f>
        <x:v>75</x:v>
      </x:c>
      <x:c r="L69" s="5" t="n">
        <x:f aca="0">RANK(F69,F$2:F$128,1)+(COUNTIF(F$2:F$128,F69)-1)/2</x:f>
        <x:v>74</x:v>
      </x:c>
      <x:c r="M69" s="5" t="n">
        <x:f aca="0">RANK(G69,G$2:G$128,1)+(COUNTIF(G$2:G$128,G69)-1)/2</x:f>
        <x:v>122</x:v>
      </x:c>
      <x:c r="N69" s="2" t="str">
        <x:f aca="0">IF(G69&gt;=1,"вырос",IF(G69&lt;=-1,"снизился","мало изменился"))</x:f>
        <x:v>вырос</x:v>
      </x:c>
    </x:row>
    <x:row r="70" ht="15" hidden="0">
      <x:c r="A70" s="2" t="s">
        <x:v>82</x:v>
      </x:c>
      <x:c r="B70" s="3" t="n">
        <x:v>1.97</x:v>
      </x:c>
      <x:c r="C70" s="3" t="n">
        <x:v>50.18</x:v>
      </x:c>
      <x:c r="D70" s="3" t="n">
        <x:v>2.06</x:v>
      </x:c>
      <x:c r="E70" s="3" t="n">
        <x:v>49.67</x:v>
      </x:c>
      <x:c r="F70" s="4" t="n">
        <x:f aca="0">ROUND(D70-B70,2)</x:f>
        <x:v>0.09</x:v>
      </x:c>
      <x:c r="G70" s="4" t="n">
        <x:f aca="0">ROUND(E70-C70,2)</x:f>
        <x:v>-0.51</x:v>
      </x:c>
      <x:c r="H70" s="5" t="n">
        <x:f aca="0">RANK(B70,B$2:B$128,1)+(COUNTIF(B$2:B$128,B70)-1)/2</x:f>
        <x:v>8</x:v>
      </x:c>
      <x:c r="I70" s="5" t="n">
        <x:f aca="0">RANK(C70,C$2:C$128,1)+(COUNTIF(C$2:C$128,C70)-1)/2</x:f>
        <x:v>70</x:v>
      </x:c>
      <x:c r="J70" s="5" t="n">
        <x:f aca="0">RANK(D70,D$2:D$128,1)+(COUNTIF(D$2:D$128,D70)-1)/2</x:f>
        <x:v>7</x:v>
      </x:c>
      <x:c r="K70" s="5" t="n">
        <x:f aca="0">RANK(E70,E$2:E$128,1)+(COUNTIF(E$2:E$128,E70)-1)/2</x:f>
        <x:v>53.5</x:v>
      </x:c>
      <x:c r="L70" s="5" t="n">
        <x:f aca="0">RANK(F70,F$2:F$128,1)+(COUNTIF(F$2:F$128,F70)-1)/2</x:f>
        <x:v>73</x:v>
      </x:c>
      <x:c r="M70" s="5" t="n">
        <x:f aca="0">RANK(G70,G$2:G$128,1)+(COUNTIF(G$2:G$128,G70)-1)/2</x:f>
        <x:v>50</x:v>
      </x:c>
      <x:c r="N70" s="2" t="str">
        <x:f aca="0">IF(G70&gt;=1,"вырос",IF(G70&lt;=-1,"снизился","мало изменился"))</x:f>
        <x:v>мало изменился</x:v>
      </x:c>
    </x:row>
    <x:row r="71" ht="15" hidden="0">
      <x:c r="A71" s="2" t="s">
        <x:v>83</x:v>
      </x:c>
      <x:c r="B71" s="3" t="n">
        <x:v>5.23</x:v>
      </x:c>
      <x:c r="C71" s="3" t="n">
        <x:v>49.81</x:v>
      </x:c>
      <x:c r="D71" s="3" t="n">
        <x:v>9.54</x:v>
      </x:c>
      <x:c r="E71" s="3" t="n">
        <x:v>52.09</x:v>
      </x:c>
      <x:c r="F71" s="4" t="n">
        <x:f aca="0">ROUND(D71-B71,2)</x:f>
        <x:v>4.31</x:v>
      </x:c>
      <x:c r="G71" s="4" t="n">
        <x:f aca="0">ROUND(E71-C71,2)</x:f>
        <x:v>2.28</x:v>
      </x:c>
      <x:c r="H71" s="5" t="n">
        <x:f aca="0">RANK(B71,B$2:B$128,1)+(COUNTIF(B$2:B$128,B71)-1)/2</x:f>
        <x:v>47</x:v>
      </x:c>
      <x:c r="I71" s="5" t="n">
        <x:f aca="0">RANK(C71,C$2:C$128,1)+(COUNTIF(C$2:C$128,C71)-1)/2</x:f>
        <x:v>64</x:v>
      </x:c>
      <x:c r="J71" s="5" t="n">
        <x:f aca="0">RANK(D71,D$2:D$128,1)+(COUNTIF(D$2:D$128,D71)-1)/2</x:f>
        <x:v>89</x:v>
      </x:c>
      <x:c r="K71" s="5" t="n">
        <x:f aca="0">RANK(E71,E$2:E$128,1)+(COUNTIF(E$2:E$128,E71)-1)/2</x:f>
        <x:v>116</x:v>
      </x:c>
      <x:c r="L71" s="5" t="n">
        <x:f aca="0">RANK(F71,F$2:F$128,1)+(COUNTIF(F$2:F$128,F71)-1)/2</x:f>
        <x:v>124</x:v>
      </x:c>
      <x:c r="M71" s="5" t="n">
        <x:f aca="0">RANK(G71,G$2:G$128,1)+(COUNTIF(G$2:G$128,G71)-1)/2</x:f>
        <x:v>120</x:v>
      </x:c>
      <x:c r="N71" s="2" t="str">
        <x:f aca="0">IF(G71&gt;=1,"вырос",IF(G71&lt;=-1,"снизился","мало изменился"))</x:f>
        <x:v>вырос</x:v>
      </x:c>
    </x:row>
    <x:row r="72" ht="15" hidden="0">
      <x:c r="A72" s="2" t="s">
        <x:v>84</x:v>
      </x:c>
      <x:c r="B72" s="3" t="n">
        <x:v>9.98</x:v>
      </x:c>
      <x:c r="C72" s="3" t="n">
        <x:v>48.61</x:v>
      </x:c>
      <x:c r="D72" s="3" t="n">
        <x:v>10.62</x:v>
      </x:c>
      <x:c r="E72" s="3" t="n">
        <x:v>50.9</x:v>
      </x:c>
      <x:c r="F72" s="4" t="n">
        <x:f aca="0">ROUND(D72-B72,2)</x:f>
        <x:v>0.64</x:v>
      </x:c>
      <x:c r="G72" s="4" t="n">
        <x:f aca="0">ROUND(E72-C72,2)</x:f>
        <x:v>2.29</x:v>
      </x:c>
      <x:c r="H72" s="5" t="n">
        <x:f aca="0">RANK(B72,B$2:B$128,1)+(COUNTIF(B$2:B$128,B72)-1)/2</x:f>
        <x:v>94</x:v>
      </x:c>
      <x:c r="I72" s="5" t="n">
        <x:f aca="0">RANK(C72,C$2:C$128,1)+(COUNTIF(C$2:C$128,C72)-1)/2</x:f>
        <x:v>36</x:v>
      </x:c>
      <x:c r="J72" s="5" t="n">
        <x:f aca="0">RANK(D72,D$2:D$128,1)+(COUNTIF(D$2:D$128,D72)-1)/2</x:f>
        <x:v>92</x:v>
      </x:c>
      <x:c r="K72" s="5" t="n">
        <x:f aca="0">RANK(E72,E$2:E$128,1)+(COUNTIF(E$2:E$128,E72)-1)/2</x:f>
        <x:v>90.5</x:v>
      </x:c>
      <x:c r="L72" s="5" t="n">
        <x:f aca="0">RANK(F72,F$2:F$128,1)+(COUNTIF(F$2:F$128,F72)-1)/2</x:f>
        <x:v>86</x:v>
      </x:c>
      <x:c r="M72" s="5" t="n">
        <x:f aca="0">RANK(G72,G$2:G$128,1)+(COUNTIF(G$2:G$128,G72)-1)/2</x:f>
        <x:v>121</x:v>
      </x:c>
      <x:c r="N72" s="2" t="str">
        <x:f aca="0">IF(G72&gt;=1,"вырос",IF(G72&lt;=-1,"снизился","мало изменился"))</x:f>
        <x:v>вырос</x:v>
      </x:c>
    </x:row>
    <x:row r="73" ht="15" hidden="0">
      <x:c r="A73" s="2" t="s">
        <x:v>85</x:v>
      </x:c>
      <x:c r="B73" s="3" t="n">
        <x:v>10.44</x:v>
      </x:c>
      <x:c r="C73" s="3" t="n">
        <x:v>48.76</x:v>
      </x:c>
      <x:c r="D73" s="3" t="n">
        <x:v>6.85</x:v>
      </x:c>
      <x:c r="E73" s="3" t="n">
        <x:v>47.51</x:v>
      </x:c>
      <x:c r="F73" s="4" t="n">
        <x:f aca="0">ROUND(D73-B73,2)</x:f>
        <x:v>-3.59</x:v>
      </x:c>
      <x:c r="G73" s="4" t="n">
        <x:f aca="0">ROUND(E73-C73,2)</x:f>
        <x:v>-1.25</x:v>
      </x:c>
      <x:c r="H73" s="5" t="n">
        <x:f aca="0">RANK(B73,B$2:B$128,1)+(COUNTIF(B$2:B$128,B73)-1)/2</x:f>
        <x:v>96</x:v>
      </x:c>
      <x:c r="I73" s="5" t="n">
        <x:f aca="0">RANK(C73,C$2:C$128,1)+(COUNTIF(C$2:C$128,C73)-1)/2</x:f>
        <x:v>40</x:v>
      </x:c>
      <x:c r="J73" s="5" t="n">
        <x:f aca="0">RANK(D73,D$2:D$128,1)+(COUNTIF(D$2:D$128,D73)-1)/2</x:f>
        <x:v>74</x:v>
      </x:c>
      <x:c r="K73" s="5" t="n">
        <x:f aca="0">RANK(E73,E$2:E$128,1)+(COUNTIF(E$2:E$128,E73)-1)/2</x:f>
        <x:v>25</x:v>
      </x:c>
      <x:c r="L73" s="5" t="n">
        <x:f aca="0">RANK(F73,F$2:F$128,1)+(COUNTIF(F$2:F$128,F73)-1)/2</x:f>
        <x:v>7</x:v>
      </x:c>
      <x:c r="M73" s="5" t="n">
        <x:f aca="0">RANK(G73,G$2:G$128,1)+(COUNTIF(G$2:G$128,G73)-1)/2</x:f>
        <x:v>27.5</x:v>
      </x:c>
      <x:c r="N73" s="2" t="str">
        <x:f aca="0">IF(G73&gt;=1,"вырос",IF(G73&lt;=-1,"снизился","мало изменился"))</x:f>
        <x:v>снизился</x:v>
      </x:c>
    </x:row>
    <x:row r="74" ht="15" hidden="0">
      <x:c r="A74" s="2" t="s">
        <x:v>86</x:v>
      </x:c>
      <x:c r="B74" s="3" t="n">
        <x:v>3.58</x:v>
      </x:c>
      <x:c r="C74" s="3" t="n">
        <x:v>49.8</x:v>
      </x:c>
      <x:c r="D74" s="3" t="n">
        <x:v>2.48</x:v>
      </x:c>
      <x:c r="E74" s="3" t="n">
        <x:v>50.33</x:v>
      </x:c>
      <x:c r="F74" s="4" t="n">
        <x:f aca="0">ROUND(D74-B74,2)</x:f>
        <x:v>-1.1</x:v>
      </x:c>
      <x:c r="G74" s="4" t="n">
        <x:f aca="0">ROUND(E74-C74,2)</x:f>
        <x:v>0.53</x:v>
      </x:c>
      <x:c r="H74" s="5" t="n">
        <x:f aca="0">RANK(B74,B$2:B$128,1)+(COUNTIF(B$2:B$128,B74)-1)/2</x:f>
        <x:v>23</x:v>
      </x:c>
      <x:c r="I74" s="5" t="n">
        <x:f aca="0">RANK(C74,C$2:C$128,1)+(COUNTIF(C$2:C$128,C74)-1)/2</x:f>
        <x:v>63</x:v>
      </x:c>
      <x:c r="J74" s="5" t="n">
        <x:f aca="0">RANK(D74,D$2:D$128,1)+(COUNTIF(D$2:D$128,D74)-1)/2</x:f>
        <x:v>11</x:v>
      </x:c>
      <x:c r="K74" s="5" t="n">
        <x:f aca="0">RANK(E74,E$2:E$128,1)+(COUNTIF(E$2:E$128,E74)-1)/2</x:f>
        <x:v>79</x:v>
      </x:c>
      <x:c r="L74" s="5" t="n">
        <x:f aca="0">RANK(F74,F$2:F$128,1)+(COUNTIF(F$2:F$128,F74)-1)/2</x:f>
        <x:v>36.5</x:v>
      </x:c>
      <x:c r="M74" s="5" t="n">
        <x:f aca="0">RANK(G74,G$2:G$128,1)+(COUNTIF(G$2:G$128,G74)-1)/2</x:f>
        <x:v>90</x:v>
      </x:c>
      <x:c r="N74" s="2" t="str">
        <x:f aca="0">IF(G74&gt;=1,"вырос",IF(G74&lt;=-1,"снизился","мало изменился"))</x:f>
        <x:v>мало изменился</x:v>
      </x:c>
    </x:row>
    <x:row r="75" ht="15" hidden="0">
      <x:c r="A75" s="2" t="s">
        <x:v>87</x:v>
      </x:c>
      <x:c r="B75" s="3" t="n">
        <x:v>5.21</x:v>
      </x:c>
      <x:c r="C75" s="3" t="n">
        <x:v>49.54</x:v>
      </x:c>
      <x:c r="D75" s="3" t="n">
        <x:v>4.43</x:v>
      </x:c>
      <x:c r="E75" s="3" t="n">
        <x:v>49.35</x:v>
      </x:c>
      <x:c r="F75" s="4" t="n">
        <x:f aca="0">ROUND(D75-B75,2)</x:f>
        <x:v>-0.78</x:v>
      </x:c>
      <x:c r="G75" s="4" t="n">
        <x:f aca="0">ROUND(E75-C75,2)</x:f>
        <x:v>-0.19</x:v>
      </x:c>
      <x:c r="H75" s="5" t="n">
        <x:f aca="0">RANK(B75,B$2:B$128,1)+(COUNTIF(B$2:B$128,B75)-1)/2</x:f>
        <x:v>46</x:v>
      </x:c>
      <x:c r="I75" s="5" t="n">
        <x:f aca="0">RANK(C75,C$2:C$128,1)+(COUNTIF(C$2:C$128,C75)-1)/2</x:f>
        <x:v>56.5</x:v>
      </x:c>
      <x:c r="J75" s="5" t="n">
        <x:f aca="0">RANK(D75,D$2:D$128,1)+(COUNTIF(D$2:D$128,D75)-1)/2</x:f>
        <x:v>37</x:v>
      </x:c>
      <x:c r="K75" s="5" t="n">
        <x:f aca="0">RANK(E75,E$2:E$128,1)+(COUNTIF(E$2:E$128,E75)-1)/2</x:f>
        <x:v>47</x:v>
      </x:c>
      <x:c r="L75" s="5" t="n">
        <x:f aca="0">RANK(F75,F$2:F$128,1)+(COUNTIF(F$2:F$128,F75)-1)/2</x:f>
        <x:v>44</x:v>
      </x:c>
      <x:c r="M75" s="5" t="n">
        <x:f aca="0">RANK(G75,G$2:G$128,1)+(COUNTIF(G$2:G$128,G75)-1)/2</x:f>
        <x:v>64</x:v>
      </x:c>
      <x:c r="N75" s="2" t="str">
        <x:f aca="0">IF(G75&gt;=1,"вырос",IF(G75&lt;=-1,"снизился","мало изменился"))</x:f>
        <x:v>мало изменился</x:v>
      </x:c>
    </x:row>
    <x:row r="76" ht="15" hidden="0">
      <x:c r="A76" s="2" t="s">
        <x:v>88</x:v>
      </x:c>
      <x:c r="B76" s="3" t="n">
        <x:v>1.78</x:v>
      </x:c>
      <x:c r="C76" s="3" t="n">
        <x:v>50.01</x:v>
      </x:c>
      <x:c r="D76" s="3" t="n">
        <x:v>1.55</x:v>
      </x:c>
      <x:c r="E76" s="3" t="n">
        <x:v>48.76</x:v>
      </x:c>
      <x:c r="F76" s="4" t="n">
        <x:f aca="0">ROUND(D76-B76,2)</x:f>
        <x:v>-0.23</x:v>
      </x:c>
      <x:c r="G76" s="4" t="n">
        <x:f aca="0">ROUND(E76-C76,2)</x:f>
        <x:v>-1.25</x:v>
      </x:c>
      <x:c r="H76" s="5" t="n">
        <x:f aca="0">RANK(B76,B$2:B$128,1)+(COUNTIF(B$2:B$128,B76)-1)/2</x:f>
        <x:v>5</x:v>
      </x:c>
      <x:c r="I76" s="5" t="n">
        <x:f aca="0">RANK(C76,C$2:C$128,1)+(COUNTIF(C$2:C$128,C76)-1)/2</x:f>
        <x:v>68</x:v>
      </x:c>
      <x:c r="J76" s="5" t="n">
        <x:f aca="0">RANK(D76,D$2:D$128,1)+(COUNTIF(D$2:D$128,D76)-1)/2</x:f>
        <x:v>3</x:v>
      </x:c>
      <x:c r="K76" s="5" t="n">
        <x:f aca="0">RANK(E76,E$2:E$128,1)+(COUNTIF(E$2:E$128,E76)-1)/2</x:f>
        <x:v>39</x:v>
      </x:c>
      <x:c r="L76" s="5" t="n">
        <x:f aca="0">RANK(F76,F$2:F$128,1)+(COUNTIF(F$2:F$128,F76)-1)/2</x:f>
        <x:v>61.5</x:v>
      </x:c>
      <x:c r="M76" s="5" t="n">
        <x:f aca="0">RANK(G76,G$2:G$128,1)+(COUNTIF(G$2:G$128,G76)-1)/2</x:f>
        <x:v>27.5</x:v>
      </x:c>
      <x:c r="N76" s="2" t="str">
        <x:f aca="0">IF(G76&gt;=1,"вырос",IF(G76&lt;=-1,"снизился","мало изменился"))</x:f>
        <x:v>снизился</x:v>
      </x:c>
    </x:row>
    <x:row r="77" ht="15" hidden="0">
      <x:c r="A77" s="2" t="s">
        <x:v>89</x:v>
      </x:c>
      <x:c r="B77" s="3" t="n">
        <x:v>8.94</x:v>
      </x:c>
      <x:c r="C77" s="3" t="n">
        <x:v>49.4</x:v>
      </x:c>
      <x:c r="D77" s="3" t="n">
        <x:v>10.28</x:v>
      </x:c>
      <x:c r="E77" s="3" t="n">
        <x:v>49.9</x:v>
      </x:c>
      <x:c r="F77" s="4" t="n">
        <x:f aca="0">ROUND(D77-B77,2)</x:f>
        <x:v>1.34</x:v>
      </x:c>
      <x:c r="G77" s="4" t="n">
        <x:f aca="0">ROUND(E77-C77,2)</x:f>
        <x:v>0.5</x:v>
      </x:c>
      <x:c r="H77" s="5" t="n">
        <x:f aca="0">RANK(B77,B$2:B$128,1)+(COUNTIF(B$2:B$128,B77)-1)/2</x:f>
        <x:v>87</x:v>
      </x:c>
      <x:c r="I77" s="5" t="n">
        <x:f aca="0">RANK(C77,C$2:C$128,1)+(COUNTIF(C$2:C$128,C77)-1)/2</x:f>
        <x:v>53</x:v>
      </x:c>
      <x:c r="J77" s="5" t="n">
        <x:f aca="0">RANK(D77,D$2:D$128,1)+(COUNTIF(D$2:D$128,D77)-1)/2</x:f>
        <x:v>90</x:v>
      </x:c>
      <x:c r="K77" s="5" t="n">
        <x:f aca="0">RANK(E77,E$2:E$128,1)+(COUNTIF(E$2:E$128,E77)-1)/2</x:f>
        <x:v>65</x:v>
      </x:c>
      <x:c r="L77" s="5" t="n">
        <x:f aca="0">RANK(F77,F$2:F$128,1)+(COUNTIF(F$2:F$128,F77)-1)/2</x:f>
        <x:v>91.5</x:v>
      </x:c>
      <x:c r="M77" s="5" t="n">
        <x:f aca="0">RANK(G77,G$2:G$128,1)+(COUNTIF(G$2:G$128,G77)-1)/2</x:f>
        <x:v>88.5</x:v>
      </x:c>
      <x:c r="N77" s="2" t="str">
        <x:f aca="0">IF(G77&gt;=1,"вырос",IF(G77&lt;=-1,"снизился","мало изменился"))</x:f>
        <x:v>мало изменился</x:v>
      </x:c>
    </x:row>
    <x:row r="78" ht="15" hidden="0">
      <x:c r="A78" s="2" t="s">
        <x:v>90</x:v>
      </x:c>
      <x:c r="B78" s="3" t="n">
        <x:v>4.7</x:v>
      </x:c>
      <x:c r="C78" s="3" t="n">
        <x:v>49.83</x:v>
      </x:c>
      <x:c r="D78" s="3" t="n">
        <x:v>4.68</x:v>
      </x:c>
      <x:c r="E78" s="3" t="n">
        <x:v>49.4</x:v>
      </x:c>
      <x:c r="F78" s="4" t="n">
        <x:f aca="0">ROUND(D78-B78,2)</x:f>
        <x:v>-0.02</x:v>
      </x:c>
      <x:c r="G78" s="4" t="n">
        <x:f aca="0">ROUND(E78-C78,2)</x:f>
        <x:v>-0.43</x:v>
      </x:c>
      <x:c r="H78" s="5" t="n">
        <x:f aca="0">RANK(B78,B$2:B$128,1)+(COUNTIF(B$2:B$128,B78)-1)/2</x:f>
        <x:v>34</x:v>
      </x:c>
      <x:c r="I78" s="5" t="n">
        <x:f aca="0">RANK(C78,C$2:C$128,1)+(COUNTIF(C$2:C$128,C78)-1)/2</x:f>
        <x:v>65</x:v>
      </x:c>
      <x:c r="J78" s="5" t="n">
        <x:f aca="0">RANK(D78,D$2:D$128,1)+(COUNTIF(D$2:D$128,D78)-1)/2</x:f>
        <x:v>40</x:v>
      </x:c>
      <x:c r="K78" s="5" t="n">
        <x:f aca="0">RANK(E78,E$2:E$128,1)+(COUNTIF(E$2:E$128,E78)-1)/2</x:f>
        <x:v>50</x:v>
      </x:c>
      <x:c r="L78" s="5" t="n">
        <x:f aca="0">RANK(F78,F$2:F$128,1)+(COUNTIF(F$2:F$128,F78)-1)/2</x:f>
        <x:v>66.5</x:v>
      </x:c>
      <x:c r="M78" s="5" t="n">
        <x:f aca="0">RANK(G78,G$2:G$128,1)+(COUNTIF(G$2:G$128,G78)-1)/2</x:f>
        <x:v>53</x:v>
      </x:c>
      <x:c r="N78" s="2" t="str">
        <x:f aca="0">IF(G78&gt;=1,"вырос",IF(G78&lt;=-1,"снизился","мало изменился"))</x:f>
        <x:v>мало изменился</x:v>
      </x:c>
    </x:row>
    <x:row r="79" ht="15" hidden="0">
      <x:c r="A79" s="2" t="s">
        <x:v>91</x:v>
      </x:c>
      <x:c r="B79" s="3" t="n">
        <x:v>13.49</x:v>
      </x:c>
      <x:c r="C79" s="3" t="n">
        <x:v>48.73</x:v>
      </x:c>
      <x:c r="D79" s="3" t="n">
        <x:v>11.07</x:v>
      </x:c>
      <x:c r="E79" s="3" t="n">
        <x:v>47.32</x:v>
      </x:c>
      <x:c r="F79" s="4" t="n">
        <x:f aca="0">ROUND(D79-B79,2)</x:f>
        <x:v>-2.42</x:v>
      </x:c>
      <x:c r="G79" s="4" t="n">
        <x:f aca="0">ROUND(E79-C79,2)</x:f>
        <x:v>-1.41</x:v>
      </x:c>
      <x:c r="H79" s="5" t="n">
        <x:f aca="0">RANK(B79,B$2:B$128,1)+(COUNTIF(B$2:B$128,B79)-1)/2</x:f>
        <x:v>110</x:v>
      </x:c>
      <x:c r="I79" s="5" t="n">
        <x:f aca="0">RANK(C79,C$2:C$128,1)+(COUNTIF(C$2:C$128,C79)-1)/2</x:f>
        <x:v>38</x:v>
      </x:c>
      <x:c r="J79" s="5" t="n">
        <x:f aca="0">RANK(D79,D$2:D$128,1)+(COUNTIF(D$2:D$128,D79)-1)/2</x:f>
        <x:v>95</x:v>
      </x:c>
      <x:c r="K79" s="5" t="n">
        <x:f aca="0">RANK(E79,E$2:E$128,1)+(COUNTIF(E$2:E$128,E79)-1)/2</x:f>
        <x:v>21</x:v>
      </x:c>
      <x:c r="L79" s="5" t="n">
        <x:f aca="0">RANK(F79,F$2:F$128,1)+(COUNTIF(F$2:F$128,F79)-1)/2</x:f>
        <x:v>15</x:v>
      </x:c>
      <x:c r="M79" s="5" t="n">
        <x:f aca="0">RANK(G79,G$2:G$128,1)+(COUNTIF(G$2:G$128,G79)-1)/2</x:f>
        <x:v>26</x:v>
      </x:c>
      <x:c r="N79" s="2" t="str">
        <x:f aca="0">IF(G79&gt;=1,"вырос",IF(G79&lt;=-1,"снизился","мало изменился"))</x:f>
        <x:v>снизился</x:v>
      </x:c>
    </x:row>
    <x:row r="80" ht="15" hidden="0">
      <x:c r="A80" s="2" t="s">
        <x:v>92</x:v>
      </x:c>
      <x:c r="B80" s="3" t="n">
        <x:v>10.68</x:v>
      </x:c>
      <x:c r="C80" s="3" t="n">
        <x:v>49.15</x:v>
      </x:c>
      <x:c r="D80" s="3" t="n">
        <x:v>10.68</x:v>
      </x:c>
      <x:c r="E80" s="3" t="n">
        <x:v>48.97</x:v>
      </x:c>
      <x:c r="F80" s="4" t="n">
        <x:f aca="0">ROUND(D80-B80,2)</x:f>
        <x:v>0</x:v>
      </x:c>
      <x:c r="G80" s="4" t="n">
        <x:f aca="0">ROUND(E80-C80,2)</x:f>
        <x:v>-0.18</x:v>
      </x:c>
      <x:c r="H80" s="5" t="n">
        <x:f aca="0">RANK(B80,B$2:B$128,1)+(COUNTIF(B$2:B$128,B80)-1)/2</x:f>
        <x:v>97</x:v>
      </x:c>
      <x:c r="I80" s="5" t="n">
        <x:f aca="0">RANK(C80,C$2:C$128,1)+(COUNTIF(C$2:C$128,C80)-1)/2</x:f>
        <x:v>50</x:v>
      </x:c>
      <x:c r="J80" s="5" t="n">
        <x:f aca="0">RANK(D80,D$2:D$128,1)+(COUNTIF(D$2:D$128,D80)-1)/2</x:f>
        <x:v>93</x:v>
      </x:c>
      <x:c r="K80" s="5" t="n">
        <x:f aca="0">RANK(E80,E$2:E$128,1)+(COUNTIF(E$2:E$128,E80)-1)/2</x:f>
        <x:v>40</x:v>
      </x:c>
      <x:c r="L80" s="5" t="n">
        <x:f aca="0">RANK(F80,F$2:F$128,1)+(COUNTIF(F$2:F$128,F80)-1)/2</x:f>
        <x:v>68</x:v>
      </x:c>
      <x:c r="M80" s="5" t="n">
        <x:f aca="0">RANK(G80,G$2:G$128,1)+(COUNTIF(G$2:G$128,G80)-1)/2</x:f>
        <x:v>65</x:v>
      </x:c>
      <x:c r="N80" s="2" t="str">
        <x:f aca="0">IF(G80&gt;=1,"вырос",IF(G80&lt;=-1,"снизился","мало изменился"))</x:f>
        <x:v>мало изменился</x:v>
      </x:c>
    </x:row>
    <x:row r="81" ht="15" hidden="0">
      <x:c r="A81" s="2" t="s">
        <x:v>93</x:v>
      </x:c>
      <x:c r="B81" s="3" t="n">
        <x:v>11.49</x:v>
      </x:c>
      <x:c r="C81" s="3" t="n">
        <x:v>49.07</x:v>
      </x:c>
      <x:c r="D81" s="3" t="n">
        <x:v>16.19</x:v>
      </x:c>
      <x:c r="E81" s="3" t="n">
        <x:v>49.02</x:v>
      </x:c>
      <x:c r="F81" s="4" t="n">
        <x:f aca="0">ROUND(D81-B81,2)</x:f>
        <x:v>4.7</x:v>
      </x:c>
      <x:c r="G81" s="4" t="n">
        <x:f aca="0">ROUND(E81-C81,2)</x:f>
        <x:v>-0.05</x:v>
      </x:c>
      <x:c r="H81" s="5" t="n">
        <x:f aca="0">RANK(B81,B$2:B$128,1)+(COUNTIF(B$2:B$128,B81)-1)/2</x:f>
        <x:v>99</x:v>
      </x:c>
      <x:c r="I81" s="5" t="n">
        <x:f aca="0">RANK(C81,C$2:C$128,1)+(COUNTIF(C$2:C$128,C81)-1)/2</x:f>
        <x:v>47</x:v>
      </x:c>
      <x:c r="J81" s="5" t="n">
        <x:f aca="0">RANK(D81,D$2:D$128,1)+(COUNTIF(D$2:D$128,D81)-1)/2</x:f>
        <x:v>120</x:v>
      </x:c>
      <x:c r="K81" s="5" t="n">
        <x:f aca="0">RANK(E81,E$2:E$128,1)+(COUNTIF(E$2:E$128,E81)-1)/2</x:f>
        <x:v>42</x:v>
      </x:c>
      <x:c r="L81" s="5" t="n">
        <x:f aca="0">RANK(F81,F$2:F$128,1)+(COUNTIF(F$2:F$128,F81)-1)/2</x:f>
        <x:v>125</x:v>
      </x:c>
      <x:c r="M81" s="5" t="n">
        <x:f aca="0">RANK(G81,G$2:G$128,1)+(COUNTIF(G$2:G$128,G81)-1)/2</x:f>
        <x:v>71</x:v>
      </x:c>
      <x:c r="N81" s="2" t="str">
        <x:f aca="0">IF(G81&gt;=1,"вырос",IF(G81&lt;=-1,"снизился","мало изменился"))</x:f>
        <x:v>мало изменился</x:v>
      </x:c>
    </x:row>
    <x:row r="82" ht="15" hidden="0">
      <x:c r="A82" s="2" t="s">
        <x:v>94</x:v>
      </x:c>
      <x:c r="B82" s="3" t="n">
        <x:v>3.38</x:v>
      </x:c>
      <x:c r="C82" s="3" t="n">
        <x:v>49.5</x:v>
      </x:c>
      <x:c r="D82" s="3" t="n">
        <x:v>4.13</x:v>
      </x:c>
      <x:c r="E82" s="3" t="n">
        <x:v>49.88</x:v>
      </x:c>
      <x:c r="F82" s="4" t="n">
        <x:f aca="0">ROUND(D82-B82,2)</x:f>
        <x:v>0.75</x:v>
      </x:c>
      <x:c r="G82" s="4" t="n">
        <x:f aca="0">ROUND(E82-C82,2)</x:f>
        <x:v>0.38</x:v>
      </x:c>
      <x:c r="H82" s="5" t="n">
        <x:f aca="0">RANK(B82,B$2:B$128,1)+(COUNTIF(B$2:B$128,B82)-1)/2</x:f>
        <x:v>20</x:v>
      </x:c>
      <x:c r="I82" s="5" t="n">
        <x:f aca="0">RANK(C82,C$2:C$128,1)+(COUNTIF(C$2:C$128,C82)-1)/2</x:f>
        <x:v>55</x:v>
      </x:c>
      <x:c r="J82" s="5" t="n">
        <x:f aca="0">RANK(D82,D$2:D$128,1)+(COUNTIF(D$2:D$128,D82)-1)/2</x:f>
        <x:v>29</x:v>
      </x:c>
      <x:c r="K82" s="5" t="n">
        <x:f aca="0">RANK(E82,E$2:E$128,1)+(COUNTIF(E$2:E$128,E82)-1)/2</x:f>
        <x:v>63</x:v>
      </x:c>
      <x:c r="L82" s="5" t="n">
        <x:f aca="0">RANK(F82,F$2:F$128,1)+(COUNTIF(F$2:F$128,F82)-1)/2</x:f>
        <x:v>88</x:v>
      </x:c>
      <x:c r="M82" s="5" t="n">
        <x:f aca="0">RANK(G82,G$2:G$128,1)+(COUNTIF(G$2:G$128,G82)-1)/2</x:f>
        <x:v>82</x:v>
      </x:c>
      <x:c r="N82" s="2" t="str">
        <x:f aca="0">IF(G82&gt;=1,"вырос",IF(G82&lt;=-1,"снизился","мало изменился"))</x:f>
        <x:v>мало изменился</x:v>
      </x:c>
    </x:row>
    <x:row r="83" ht="15" hidden="0">
      <x:c r="A83" s="2" t="s">
        <x:v>95</x:v>
      </x:c>
      <x:c r="B83" s="3" t="n">
        <x:v>17.01</x:v>
      </x:c>
      <x:c r="C83" s="3" t="n">
        <x:v>48.25</x:v>
      </x:c>
      <x:c r="D83" s="3" t="n">
        <x:v>19.92</x:v>
      </x:c>
      <x:c r="E83" s="3" t="n">
        <x:v>49.67</x:v>
      </x:c>
      <x:c r="F83" s="4" t="n">
        <x:f aca="0">ROUND(D83-B83,2)</x:f>
        <x:v>2.91</x:v>
      </x:c>
      <x:c r="G83" s="4" t="n">
        <x:f aca="0">ROUND(E83-C83,2)</x:f>
        <x:v>1.42</x:v>
      </x:c>
      <x:c r="H83" s="5" t="n">
        <x:f aca="0">RANK(B83,B$2:B$128,1)+(COUNTIF(B$2:B$128,B83)-1)/2</x:f>
        <x:v>119</x:v>
      </x:c>
      <x:c r="I83" s="5" t="n">
        <x:f aca="0">RANK(C83,C$2:C$128,1)+(COUNTIF(C$2:C$128,C83)-1)/2</x:f>
        <x:v>28</x:v>
      </x:c>
      <x:c r="J83" s="5" t="n">
        <x:f aca="0">RANK(D83,D$2:D$128,1)+(COUNTIF(D$2:D$128,D83)-1)/2</x:f>
        <x:v>125</x:v>
      </x:c>
      <x:c r="K83" s="5" t="n">
        <x:f aca="0">RANK(E83,E$2:E$128,1)+(COUNTIF(E$2:E$128,E83)-1)/2</x:f>
        <x:v>53.5</x:v>
      </x:c>
      <x:c r="L83" s="5" t="n">
        <x:f aca="0">RANK(F83,F$2:F$128,1)+(COUNTIF(F$2:F$128,F83)-1)/2</x:f>
        <x:v>113</x:v>
      </x:c>
      <x:c r="M83" s="5" t="n">
        <x:f aca="0">RANK(G83,G$2:G$128,1)+(COUNTIF(G$2:G$128,G83)-1)/2</x:f>
        <x:v>108</x:v>
      </x:c>
      <x:c r="N83" s="2" t="str">
        <x:f aca="0">IF(G83&gt;=1,"вырос",IF(G83&lt;=-1,"снизился","мало изменился"))</x:f>
        <x:v>вырос</x:v>
      </x:c>
    </x:row>
    <x:row r="84" ht="15" hidden="0">
      <x:c r="A84" s="2" t="s">
        <x:v>96</x:v>
      </x:c>
      <x:c r="B84" s="3" t="n">
        <x:v>2.66</x:v>
      </x:c>
      <x:c r="C84" s="3" t="n">
        <x:v>49.69</x:v>
      </x:c>
      <x:c r="D84" s="3" t="n">
        <x:v>2.72</x:v>
      </x:c>
      <x:c r="E84" s="3" t="n">
        <x:v>48.27</x:v>
      </x:c>
      <x:c r="F84" s="4" t="n">
        <x:f aca="0">ROUND(D84-B84,2)</x:f>
        <x:v>0.06</x:v>
      </x:c>
      <x:c r="G84" s="4" t="n">
        <x:f aca="0">ROUND(E84-C84,2)</x:f>
        <x:v>-1.42</x:v>
      </x:c>
      <x:c r="H84" s="5" t="n">
        <x:f aca="0">RANK(B84,B$2:B$128,1)+(COUNTIF(B$2:B$128,B84)-1)/2</x:f>
        <x:v>13</x:v>
      </x:c>
      <x:c r="I84" s="5" t="n">
        <x:f aca="0">RANK(C84,C$2:C$128,1)+(COUNTIF(C$2:C$128,C84)-1)/2</x:f>
        <x:v>61</x:v>
      </x:c>
      <x:c r="J84" s="5" t="n">
        <x:f aca="0">RANK(D84,D$2:D$128,1)+(COUNTIF(D$2:D$128,D84)-1)/2</x:f>
        <x:v>13</x:v>
      </x:c>
      <x:c r="K84" s="5" t="n">
        <x:f aca="0">RANK(E84,E$2:E$128,1)+(COUNTIF(E$2:E$128,E84)-1)/2</x:f>
        <x:v>33</x:v>
      </x:c>
      <x:c r="L84" s="5" t="n">
        <x:f aca="0">RANK(F84,F$2:F$128,1)+(COUNTIF(F$2:F$128,F84)-1)/2</x:f>
        <x:v>70</x:v>
      </x:c>
      <x:c r="M84" s="5" t="n">
        <x:f aca="0">RANK(G84,G$2:G$128,1)+(COUNTIF(G$2:G$128,G84)-1)/2</x:f>
        <x:v>25</x:v>
      </x:c>
      <x:c r="N84" s="2" t="str">
        <x:f aca="0">IF(G84&gt;=1,"вырос",IF(G84&lt;=-1,"снизился","мало изменился"))</x:f>
        <x:v>снизился</x:v>
      </x:c>
    </x:row>
    <x:row r="85" ht="15" hidden="0">
      <x:c r="A85" s="2" t="s">
        <x:v>97</x:v>
      </x:c>
      <x:c r="B85" s="3" t="n">
        <x:v>11.36</x:v>
      </x:c>
      <x:c r="C85" s="3" t="n">
        <x:v>48.47</x:v>
      </x:c>
      <x:c r="D85" s="3" t="n">
        <x:v>11.56</x:v>
      </x:c>
      <x:c r="E85" s="3" t="n">
        <x:v>51.1</x:v>
      </x:c>
      <x:c r="F85" s="4" t="n">
        <x:f aca="0">ROUND(D85-B85,2)</x:f>
        <x:v>0.2</x:v>
      </x:c>
      <x:c r="G85" s="4" t="n">
        <x:f aca="0">ROUND(E85-C85,2)</x:f>
        <x:v>2.63</x:v>
      </x:c>
      <x:c r="H85" s="5" t="n">
        <x:f aca="0">RANK(B85,B$2:B$128,1)+(COUNTIF(B$2:B$128,B85)-1)/2</x:f>
        <x:v>98</x:v>
      </x:c>
      <x:c r="I85" s="5" t="n">
        <x:f aca="0">RANK(C85,C$2:C$128,1)+(COUNTIF(C$2:C$128,C85)-1)/2</x:f>
        <x:v>34</x:v>
      </x:c>
      <x:c r="J85" s="5" t="n">
        <x:f aca="0">RANK(D85,D$2:D$128,1)+(COUNTIF(D$2:D$128,D85)-1)/2</x:f>
        <x:v>98.5</x:v>
      </x:c>
      <x:c r="K85" s="5" t="n">
        <x:f aca="0">RANK(E85,E$2:E$128,1)+(COUNTIF(E$2:E$128,E85)-1)/2</x:f>
        <x:v>98</x:v>
      </x:c>
      <x:c r="L85" s="5" t="n">
        <x:f aca="0">RANK(F85,F$2:F$128,1)+(COUNTIF(F$2:F$128,F85)-1)/2</x:f>
        <x:v>75</x:v>
      </x:c>
      <x:c r="M85" s="5" t="n">
        <x:f aca="0">RANK(G85,G$2:G$128,1)+(COUNTIF(G$2:G$128,G85)-1)/2</x:f>
        <x:v>123</x:v>
      </x:c>
      <x:c r="N85" s="2" t="str">
        <x:f aca="0">IF(G85&gt;=1,"вырос",IF(G85&lt;=-1,"снизился","мало изменился"))</x:f>
        <x:v>вырос</x:v>
      </x:c>
    </x:row>
    <x:row r="86" ht="15" hidden="0">
      <x:c r="A86" s="2" t="s">
        <x:v>98</x:v>
      </x:c>
      <x:c r="B86" s="3" t="n">
        <x:v>4.04</x:v>
      </x:c>
      <x:c r="C86" s="3" t="n">
        <x:v>49.54</x:v>
      </x:c>
      <x:c r="D86" s="3" t="n">
        <x:v>6.39</x:v>
      </x:c>
      <x:c r="E86" s="3" t="n">
        <x:v>51.74</x:v>
      </x:c>
      <x:c r="F86" s="4" t="n">
        <x:f aca="0">ROUND(D86-B86,2)</x:f>
        <x:v>2.35</x:v>
      </x:c>
      <x:c r="G86" s="4" t="n">
        <x:f aca="0">ROUND(E86-C86,2)</x:f>
        <x:v>2.2</x:v>
      </x:c>
      <x:c r="H86" s="5" t="n">
        <x:f aca="0">RANK(B86,B$2:B$128,1)+(COUNTIF(B$2:B$128,B86)-1)/2</x:f>
        <x:v>27</x:v>
      </x:c>
      <x:c r="I86" s="5" t="n">
        <x:f aca="0">RANK(C86,C$2:C$128,1)+(COUNTIF(C$2:C$128,C86)-1)/2</x:f>
        <x:v>56.5</x:v>
      </x:c>
      <x:c r="J86" s="5" t="n">
        <x:f aca="0">RANK(D86,D$2:D$128,1)+(COUNTIF(D$2:D$128,D86)-1)/2</x:f>
        <x:v>65</x:v>
      </x:c>
      <x:c r="K86" s="5" t="n">
        <x:f aca="0">RANK(E86,E$2:E$128,1)+(COUNTIF(E$2:E$128,E86)-1)/2</x:f>
        <x:v>108.5</x:v>
      </x:c>
      <x:c r="L86" s="5" t="n">
        <x:f aca="0">RANK(F86,F$2:F$128,1)+(COUNTIF(F$2:F$128,F86)-1)/2</x:f>
        <x:v>107</x:v>
      </x:c>
      <x:c r="M86" s="5" t="n">
        <x:f aca="0">RANK(G86,G$2:G$128,1)+(COUNTIF(G$2:G$128,G86)-1)/2</x:f>
        <x:v>119</x:v>
      </x:c>
      <x:c r="N86" s="2" t="str">
        <x:f aca="0">IF(G86&gt;=1,"вырос",IF(G86&lt;=-1,"снизился","мало изменился"))</x:f>
        <x:v>вырос</x:v>
      </x:c>
    </x:row>
    <x:row r="87" ht="15" hidden="0">
      <x:c r="A87" s="2" t="s">
        <x:v>99</x:v>
      </x:c>
      <x:c r="B87" s="3" t="n">
        <x:v>1.83</x:v>
      </x:c>
      <x:c r="C87" s="3" t="n">
        <x:v>49.64</x:v>
      </x:c>
      <x:c r="D87" s="3" t="n">
        <x:v>1.75</x:v>
      </x:c>
      <x:c r="E87" s="3" t="n">
        <x:v>50.54</x:v>
      </x:c>
      <x:c r="F87" s="4" t="n">
        <x:f aca="0">ROUND(D87-B87,2)</x:f>
        <x:v>-0.08</x:v>
      </x:c>
      <x:c r="G87" s="4" t="n">
        <x:f aca="0">ROUND(E87-C87,2)</x:f>
        <x:v>0.9</x:v>
      </x:c>
      <x:c r="H87" s="5" t="n">
        <x:f aca="0">RANK(B87,B$2:B$128,1)+(COUNTIF(B$2:B$128,B87)-1)/2</x:f>
        <x:v>6</x:v>
      </x:c>
      <x:c r="I87" s="5" t="n">
        <x:f aca="0">RANK(C87,C$2:C$128,1)+(COUNTIF(C$2:C$128,C87)-1)/2</x:f>
        <x:v>60</x:v>
      </x:c>
      <x:c r="J87" s="5" t="n">
        <x:f aca="0">RANK(D87,D$2:D$128,1)+(COUNTIF(D$2:D$128,D87)-1)/2</x:f>
        <x:v>4</x:v>
      </x:c>
      <x:c r="K87" s="5" t="n">
        <x:f aca="0">RANK(E87,E$2:E$128,1)+(COUNTIF(E$2:E$128,E87)-1)/2</x:f>
        <x:v>83</x:v>
      </x:c>
      <x:c r="L87" s="5" t="n">
        <x:f aca="0">RANK(F87,F$2:F$128,1)+(COUNTIF(F$2:F$128,F87)-1)/2</x:f>
        <x:v>65</x:v>
      </x:c>
      <x:c r="M87" s="5" t="n">
        <x:f aca="0">RANK(G87,G$2:G$128,1)+(COUNTIF(G$2:G$128,G87)-1)/2</x:f>
        <x:v>96</x:v>
      </x:c>
      <x:c r="N87" s="2" t="str">
        <x:f aca="0">IF(G87&gt;=1,"вырос",IF(G87&lt;=-1,"снизился","мало изменился"))</x:f>
        <x:v>мало изменился</x:v>
      </x:c>
    </x:row>
    <x:row r="88" ht="15" hidden="0">
      <x:c r="A88" s="2" t="s">
        <x:v>100</x:v>
      </x:c>
      <x:c r="B88" s="3" t="n">
        <x:v>12.56</x:v>
      </x:c>
      <x:c r="C88" s="3" t="n">
        <x:v>48.29</x:v>
      </x:c>
      <x:c r="D88" s="3" t="n">
        <x:v>13.21</x:v>
      </x:c>
      <x:c r="E88" s="3" t="n">
        <x:v>50.94</x:v>
      </x:c>
      <x:c r="F88" s="4" t="n">
        <x:f aca="0">ROUND(D88-B88,2)</x:f>
        <x:v>0.65</x:v>
      </x:c>
      <x:c r="G88" s="4" t="n">
        <x:f aca="0">ROUND(E88-C88,2)</x:f>
        <x:v>2.65</x:v>
      </x:c>
      <x:c r="H88" s="5" t="n">
        <x:f aca="0">RANK(B88,B$2:B$128,1)+(COUNTIF(B$2:B$128,B88)-1)/2</x:f>
        <x:v>105</x:v>
      </x:c>
      <x:c r="I88" s="5" t="n">
        <x:f aca="0">RANK(C88,C$2:C$128,1)+(COUNTIF(C$2:C$128,C88)-1)/2</x:f>
        <x:v>29</x:v>
      </x:c>
      <x:c r="J88" s="5" t="n">
        <x:f aca="0">RANK(D88,D$2:D$128,1)+(COUNTIF(D$2:D$128,D88)-1)/2</x:f>
        <x:v>107</x:v>
      </x:c>
      <x:c r="K88" s="5" t="n">
        <x:f aca="0">RANK(E88,E$2:E$128,1)+(COUNTIF(E$2:E$128,E88)-1)/2</x:f>
        <x:v>94</x:v>
      </x:c>
      <x:c r="L88" s="5" t="n">
        <x:f aca="0">RANK(F88,F$2:F$128,1)+(COUNTIF(F$2:F$128,F88)-1)/2</x:f>
        <x:v>87</x:v>
      </x:c>
      <x:c r="M88" s="5" t="n">
        <x:f aca="0">RANK(G88,G$2:G$128,1)+(COUNTIF(G$2:G$128,G88)-1)/2</x:f>
        <x:v>124</x:v>
      </x:c>
      <x:c r="N88" s="2" t="str">
        <x:f aca="0">IF(G88&gt;=1,"вырос",IF(G88&lt;=-1,"снизился","мало изменился"))</x:f>
        <x:v>вырос</x:v>
      </x:c>
    </x:row>
    <x:row r="89" ht="15" hidden="0">
      <x:c r="A89" s="2" t="s">
        <x:v>101</x:v>
      </x:c>
      <x:c r="B89" s="3" t="n">
        <x:v>5.26</x:v>
      </x:c>
      <x:c r="C89" s="3" t="n">
        <x:v>49.14</x:v>
      </x:c>
      <x:c r="D89" s="3" t="n">
        <x:v>5.59</x:v>
      </x:c>
      <x:c r="E89" s="3" t="n">
        <x:v>48.29</x:v>
      </x:c>
      <x:c r="F89" s="4" t="n">
        <x:f aca="0">ROUND(D89-B89,2)</x:f>
        <x:v>0.33</x:v>
      </x:c>
      <x:c r="G89" s="4" t="n">
        <x:f aca="0">ROUND(E89-C89,2)</x:f>
        <x:v>-0.85</x:v>
      </x:c>
      <x:c r="H89" s="5" t="n">
        <x:f aca="0">RANK(B89,B$2:B$128,1)+(COUNTIF(B$2:B$128,B89)-1)/2</x:f>
        <x:v>48</x:v>
      </x:c>
      <x:c r="I89" s="5" t="n">
        <x:f aca="0">RANK(C89,C$2:C$128,1)+(COUNTIF(C$2:C$128,C89)-1)/2</x:f>
        <x:v>49</x:v>
      </x:c>
      <x:c r="J89" s="5" t="n">
        <x:f aca="0">RANK(D89,D$2:D$128,1)+(COUNTIF(D$2:D$128,D89)-1)/2</x:f>
        <x:v>56</x:v>
      </x:c>
      <x:c r="K89" s="5" t="n">
        <x:f aca="0">RANK(E89,E$2:E$128,1)+(COUNTIF(E$2:E$128,E89)-1)/2</x:f>
        <x:v>34</x:v>
      </x:c>
      <x:c r="L89" s="5" t="n">
        <x:f aca="0">RANK(F89,F$2:F$128,1)+(COUNTIF(F$2:F$128,F89)-1)/2</x:f>
        <x:v>79</x:v>
      </x:c>
      <x:c r="M89" s="5" t="n">
        <x:f aca="0">RANK(G89,G$2:G$128,1)+(COUNTIF(G$2:G$128,G89)-1)/2</x:f>
        <x:v>40</x:v>
      </x:c>
      <x:c r="N89" s="2" t="str">
        <x:f aca="0">IF(G89&gt;=1,"вырос",IF(G89&lt;=-1,"снизился","мало изменился"))</x:f>
        <x:v>мало изменился</x:v>
      </x:c>
    </x:row>
    <x:row r="90" ht="15" hidden="0">
      <x:c r="A90" s="2" t="s">
        <x:v>102</x:v>
      </x:c>
      <x:c r="B90" s="3" t="n">
        <x:v>1.86</x:v>
      </x:c>
      <x:c r="C90" s="3" t="n">
        <x:v>49.47</x:v>
      </x:c>
      <x:c r="D90" s="3" t="n">
        <x:v>3.54</x:v>
      </x:c>
      <x:c r="E90" s="3" t="n">
        <x:v>49.13</x:v>
      </x:c>
      <x:c r="F90" s="4" t="n">
        <x:f aca="0">ROUND(D90-B90,2)</x:f>
        <x:v>1.68</x:v>
      </x:c>
      <x:c r="G90" s="4" t="n">
        <x:f aca="0">ROUND(E90-C90,2)</x:f>
        <x:v>-0.34</x:v>
      </x:c>
      <x:c r="H90" s="5" t="n">
        <x:f aca="0">RANK(B90,B$2:B$128,1)+(COUNTIF(B$2:B$128,B90)-1)/2</x:f>
        <x:v>7</x:v>
      </x:c>
      <x:c r="I90" s="5" t="n">
        <x:f aca="0">RANK(C90,C$2:C$128,1)+(COUNTIF(C$2:C$128,C90)-1)/2</x:f>
        <x:v>54</x:v>
      </x:c>
      <x:c r="J90" s="5" t="n">
        <x:f aca="0">RANK(D90,D$2:D$128,1)+(COUNTIF(D$2:D$128,D90)-1)/2</x:f>
        <x:v>17</x:v>
      </x:c>
      <x:c r="K90" s="5" t="n">
        <x:f aca="0">RANK(E90,E$2:E$128,1)+(COUNTIF(E$2:E$128,E90)-1)/2</x:f>
        <x:v>45.5</x:v>
      </x:c>
      <x:c r="L90" s="5" t="n">
        <x:f aca="0">RANK(F90,F$2:F$128,1)+(COUNTIF(F$2:F$128,F90)-1)/2</x:f>
        <x:v>102</x:v>
      </x:c>
      <x:c r="M90" s="5" t="n">
        <x:f aca="0">RANK(G90,G$2:G$128,1)+(COUNTIF(G$2:G$128,G90)-1)/2</x:f>
        <x:v>58</x:v>
      </x:c>
      <x:c r="N90" s="2" t="str">
        <x:f aca="0">IF(G90&gt;=1,"вырос",IF(G90&lt;=-1,"снизился","мало изменился"))</x:f>
        <x:v>мало изменился</x:v>
      </x:c>
    </x:row>
    <x:row r="91" ht="15" hidden="0">
      <x:c r="A91" s="2" t="s">
        <x:v>103</x:v>
      </x:c>
      <x:c r="B91" s="3" t="n">
        <x:v>5.33</x:v>
      </x:c>
      <x:c r="C91" s="3" t="n">
        <x:v>49.09</x:v>
      </x:c>
      <x:c r="D91" s="3" t="n">
        <x:v>4.03</x:v>
      </x:c>
      <x:c r="E91" s="3" t="n">
        <x:v>49.4</x:v>
      </x:c>
      <x:c r="F91" s="4" t="n">
        <x:f aca="0">ROUND(D91-B91,2)</x:f>
        <x:v>-1.3</x:v>
      </x:c>
      <x:c r="G91" s="4" t="n">
        <x:f aca="0">ROUND(E91-C91,2)</x:f>
        <x:v>0.31</x:v>
      </x:c>
      <x:c r="H91" s="5" t="n">
        <x:f aca="0">RANK(B91,B$2:B$128,1)+(COUNTIF(B$2:B$128,B91)-1)/2</x:f>
        <x:v>50</x:v>
      </x:c>
      <x:c r="I91" s="5" t="n">
        <x:f aca="0">RANK(C91,C$2:C$128,1)+(COUNTIF(C$2:C$128,C91)-1)/2</x:f>
        <x:v>48</x:v>
      </x:c>
      <x:c r="J91" s="5" t="n">
        <x:f aca="0">RANK(D91,D$2:D$128,1)+(COUNTIF(D$2:D$128,D91)-1)/2</x:f>
        <x:v>25</x:v>
      </x:c>
      <x:c r="K91" s="5" t="n">
        <x:f aca="0">RANK(E91,E$2:E$128,1)+(COUNTIF(E$2:E$128,E91)-1)/2</x:f>
        <x:v>50</x:v>
      </x:c>
      <x:c r="L91" s="5" t="n">
        <x:f aca="0">RANK(F91,F$2:F$128,1)+(COUNTIF(F$2:F$128,F91)-1)/2</x:f>
        <x:v>31</x:v>
      </x:c>
      <x:c r="M91" s="5" t="n">
        <x:f aca="0">RANK(G91,G$2:G$128,1)+(COUNTIF(G$2:G$128,G91)-1)/2</x:f>
        <x:v>79.5</x:v>
      </x:c>
      <x:c r="N91" s="2" t="str">
        <x:f aca="0">IF(G91&gt;=1,"вырос",IF(G91&lt;=-1,"снизился","мало изменился"))</x:f>
        <x:v>мало изменился</x:v>
      </x:c>
    </x:row>
    <x:row r="92" ht="15" hidden="0">
      <x:c r="A92" s="2" t="s">
        <x:v>104</x:v>
      </x:c>
      <x:c r="B92" s="3" t="n">
        <x:v>3.34</x:v>
      </x:c>
      <x:c r="C92" s="3" t="n">
        <x:v>49.3</x:v>
      </x:c>
      <x:c r="D92" s="3" t="n">
        <x:v>5.31</x:v>
      </x:c>
      <x:c r="E92" s="3" t="n">
        <x:v>49.78</x:v>
      </x:c>
      <x:c r="F92" s="4" t="n">
        <x:f aca="0">ROUND(D92-B92,2)</x:f>
        <x:v>1.97</x:v>
      </x:c>
      <x:c r="G92" s="4" t="n">
        <x:f aca="0">ROUND(E92-C92,2)</x:f>
        <x:v>0.48</x:v>
      </x:c>
      <x:c r="H92" s="5" t="n">
        <x:f aca="0">RANK(B92,B$2:B$128,1)+(COUNTIF(B$2:B$128,B92)-1)/2</x:f>
        <x:v>19</x:v>
      </x:c>
      <x:c r="I92" s="5" t="n">
        <x:f aca="0">RANK(C92,C$2:C$128,1)+(COUNTIF(C$2:C$128,C92)-1)/2</x:f>
        <x:v>51</x:v>
      </x:c>
      <x:c r="J92" s="5" t="n">
        <x:f aca="0">RANK(D92,D$2:D$128,1)+(COUNTIF(D$2:D$128,D92)-1)/2</x:f>
        <x:v>50</x:v>
      </x:c>
      <x:c r="K92" s="5" t="n">
        <x:f aca="0">RANK(E92,E$2:E$128,1)+(COUNTIF(E$2:E$128,E92)-1)/2</x:f>
        <x:v>57</x:v>
      </x:c>
      <x:c r="L92" s="5" t="n">
        <x:f aca="0">RANK(F92,F$2:F$128,1)+(COUNTIF(F$2:F$128,F92)-1)/2</x:f>
        <x:v>105.5</x:v>
      </x:c>
      <x:c r="M92" s="5" t="n">
        <x:f aca="0">RANK(G92,G$2:G$128,1)+(COUNTIF(G$2:G$128,G92)-1)/2</x:f>
        <x:v>84</x:v>
      </x:c>
      <x:c r="N92" s="2" t="str">
        <x:f aca="0">IF(G92&gt;=1,"вырос",IF(G92&lt;=-1,"снизился","мало изменился"))</x:f>
        <x:v>мало изменился</x:v>
      </x:c>
    </x:row>
    <x:row r="93" ht="15" hidden="0">
      <x:c r="A93" s="2" t="s">
        <x:v>105</x:v>
      </x:c>
      <x:c r="B93" s="3" t="n">
        <x:v>8.56</x:v>
      </x:c>
      <x:c r="C93" s="3" t="n">
        <x:v>48.75</x:v>
      </x:c>
      <x:c r="D93" s="3" t="n">
        <x:v>11.76</x:v>
      </x:c>
      <x:c r="E93" s="3" t="n">
        <x:v>48.06</x:v>
      </x:c>
      <x:c r="F93" s="4" t="n">
        <x:f aca="0">ROUND(D93-B93,2)</x:f>
        <x:v>3.2</x:v>
      </x:c>
      <x:c r="G93" s="4" t="n">
        <x:f aca="0">ROUND(E93-C93,2)</x:f>
        <x:v>-0.69</x:v>
      </x:c>
      <x:c r="H93" s="5" t="n">
        <x:f aca="0">RANK(B93,B$2:B$128,1)+(COUNTIF(B$2:B$128,B93)-1)/2</x:f>
        <x:v>85.5</x:v>
      </x:c>
      <x:c r="I93" s="5" t="n">
        <x:f aca="0">RANK(C93,C$2:C$128,1)+(COUNTIF(C$2:C$128,C93)-1)/2</x:f>
        <x:v>39</x:v>
      </x:c>
      <x:c r="J93" s="5" t="n">
        <x:f aca="0">RANK(D93,D$2:D$128,1)+(COUNTIF(D$2:D$128,D93)-1)/2</x:f>
        <x:v>100</x:v>
      </x:c>
      <x:c r="K93" s="5" t="n">
        <x:f aca="0">RANK(E93,E$2:E$128,1)+(COUNTIF(E$2:E$128,E93)-1)/2</x:f>
        <x:v>31</x:v>
      </x:c>
      <x:c r="L93" s="5" t="n">
        <x:f aca="0">RANK(F93,F$2:F$128,1)+(COUNTIF(F$2:F$128,F93)-1)/2</x:f>
        <x:v>117</x:v>
      </x:c>
      <x:c r="M93" s="5" t="n">
        <x:f aca="0">RANK(G93,G$2:G$128,1)+(COUNTIF(G$2:G$128,G93)-1)/2</x:f>
        <x:v>45</x:v>
      </x:c>
      <x:c r="N93" s="2" t="str">
        <x:f aca="0">IF(G93&gt;=1,"вырос",IF(G93&lt;=-1,"снизился","мало изменился"))</x:f>
        <x:v>мало изменился</x:v>
      </x:c>
    </x:row>
    <x:row r="94" ht="15" hidden="0">
      <x:c r="A94" s="2" t="s">
        <x:v>106</x:v>
      </x:c>
      <x:c r="B94" s="3" t="n">
        <x:v>14.43</x:v>
      </x:c>
      <x:c r="C94" s="3" t="n">
        <x:v>48.15</x:v>
      </x:c>
      <x:c r="D94" s="3" t="n">
        <x:v>9.01</x:v>
      </x:c>
      <x:c r="E94" s="3" t="n">
        <x:v>47.77</x:v>
      </x:c>
      <x:c r="F94" s="4" t="n">
        <x:f aca="0">ROUND(D94-B94,2)</x:f>
        <x:v>-5.42</x:v>
      </x:c>
      <x:c r="G94" s="4" t="n">
        <x:f aca="0">ROUND(E94-C94,2)</x:f>
        <x:v>-0.38</x:v>
      </x:c>
      <x:c r="H94" s="5" t="n">
        <x:f aca="0">RANK(B94,B$2:B$128,1)+(COUNTIF(B$2:B$128,B94)-1)/2</x:f>
        <x:v>112.5</x:v>
      </x:c>
      <x:c r="I94" s="5" t="n">
        <x:f aca="0">RANK(C94,C$2:C$128,1)+(COUNTIF(C$2:C$128,C94)-1)/2</x:f>
        <x:v>26</x:v>
      </x:c>
      <x:c r="J94" s="5" t="n">
        <x:f aca="0">RANK(D94,D$2:D$128,1)+(COUNTIF(D$2:D$128,D94)-1)/2</x:f>
        <x:v>84</x:v>
      </x:c>
      <x:c r="K94" s="5" t="n">
        <x:f aca="0">RANK(E94,E$2:E$128,1)+(COUNTIF(E$2:E$128,E94)-1)/2</x:f>
        <x:v>27</x:v>
      </x:c>
      <x:c r="L94" s="5" t="n">
        <x:f aca="0">RANK(F94,F$2:F$128,1)+(COUNTIF(F$2:F$128,F94)-1)/2</x:f>
        <x:v>4</x:v>
      </x:c>
      <x:c r="M94" s="5" t="n">
        <x:f aca="0">RANK(G94,G$2:G$128,1)+(COUNTIF(G$2:G$128,G94)-1)/2</x:f>
        <x:v>54</x:v>
      </x:c>
      <x:c r="N94" s="2" t="str">
        <x:f aca="0">IF(G94&gt;=1,"вырос",IF(G94&lt;=-1,"снизился","мало изменился"))</x:f>
        <x:v>мало изменился</x:v>
      </x:c>
    </x:row>
    <x:row r="95" ht="15" hidden="0">
      <x:c r="A95" s="2" t="s">
        <x:v>107</x:v>
      </x:c>
      <x:c r="B95" s="3" t="n">
        <x:v>5.34</x:v>
      </x:c>
      <x:c r="C95" s="3" t="n">
        <x:v>48.91</x:v>
      </x:c>
      <x:c r="D95" s="3" t="n">
        <x:v>6.76</x:v>
      </x:c>
      <x:c r="E95" s="3" t="n">
        <x:v>50.7</x:v>
      </x:c>
      <x:c r="F95" s="4" t="n">
        <x:f aca="0">ROUND(D95-B95,2)</x:f>
        <x:v>1.42</x:v>
      </x:c>
      <x:c r="G95" s="4" t="n">
        <x:f aca="0">ROUND(E95-C95,2)</x:f>
        <x:v>1.79</x:v>
      </x:c>
      <x:c r="H95" s="5" t="n">
        <x:f aca="0">RANK(B95,B$2:B$128,1)+(COUNTIF(B$2:B$128,B95)-1)/2</x:f>
        <x:v>51</x:v>
      </x:c>
      <x:c r="I95" s="5" t="n">
        <x:f aca="0">RANK(C95,C$2:C$128,1)+(COUNTIF(C$2:C$128,C95)-1)/2</x:f>
        <x:v>43</x:v>
      </x:c>
      <x:c r="J95" s="5" t="n">
        <x:f aca="0">RANK(D95,D$2:D$128,1)+(COUNTIF(D$2:D$128,D95)-1)/2</x:f>
        <x:v>73</x:v>
      </x:c>
      <x:c r="K95" s="5" t="n">
        <x:f aca="0">RANK(E95,E$2:E$128,1)+(COUNTIF(E$2:E$128,E95)-1)/2</x:f>
        <x:v>87</x:v>
      </x:c>
      <x:c r="L95" s="5" t="n">
        <x:f aca="0">RANK(F95,F$2:F$128,1)+(COUNTIF(F$2:F$128,F95)-1)/2</x:f>
        <x:v>95.5</x:v>
      </x:c>
      <x:c r="M95" s="5" t="n">
        <x:f aca="0">RANK(G95,G$2:G$128,1)+(COUNTIF(G$2:G$128,G95)-1)/2</x:f>
        <x:v>115</x:v>
      </x:c>
      <x:c r="N95" s="2" t="str">
        <x:f aca="0">IF(G95&gt;=1,"вырос",IF(G95&lt;=-1,"снизился","мало изменился"))</x:f>
        <x:v>вырос</x:v>
      </x:c>
    </x:row>
    <x:row r="96" ht="15" hidden="0">
      <x:c r="A96" s="2" t="s">
        <x:v>108</x:v>
      </x:c>
      <x:c r="B96" s="3" t="n">
        <x:v>4.39</x:v>
      </x:c>
      <x:c r="C96" s="3" t="n">
        <x:v>49</x:v>
      </x:c>
      <x:c r="D96" s="3" t="n">
        <x:v>4.08</x:v>
      </x:c>
      <x:c r="E96" s="3" t="n">
        <x:v>49.97</x:v>
      </x:c>
      <x:c r="F96" s="4" t="n">
        <x:f aca="0">ROUND(D96-B96,2)</x:f>
        <x:v>-0.31</x:v>
      </x:c>
      <x:c r="G96" s="4" t="n">
        <x:f aca="0">ROUND(E96-C96,2)</x:f>
        <x:v>0.97</x:v>
      </x:c>
      <x:c r="H96" s="5" t="n">
        <x:f aca="0">RANK(B96,B$2:B$128,1)+(COUNTIF(B$2:B$128,B96)-1)/2</x:f>
        <x:v>31</x:v>
      </x:c>
      <x:c r="I96" s="5" t="n">
        <x:f aca="0">RANK(C96,C$2:C$128,1)+(COUNTIF(C$2:C$128,C96)-1)/2</x:f>
        <x:v>45</x:v>
      </x:c>
      <x:c r="J96" s="5" t="n">
        <x:f aca="0">RANK(D96,D$2:D$128,1)+(COUNTIF(D$2:D$128,D96)-1)/2</x:f>
        <x:v>26.5</x:v>
      </x:c>
      <x:c r="K96" s="5" t="n">
        <x:f aca="0">RANK(E96,E$2:E$128,1)+(COUNTIF(E$2:E$128,E96)-1)/2</x:f>
        <x:v>67</x:v>
      </x:c>
      <x:c r="L96" s="5" t="n">
        <x:f aca="0">RANK(F96,F$2:F$128,1)+(COUNTIF(F$2:F$128,F96)-1)/2</x:f>
        <x:v>58</x:v>
      </x:c>
      <x:c r="M96" s="5" t="n">
        <x:f aca="0">RANK(G96,G$2:G$128,1)+(COUNTIF(G$2:G$128,G96)-1)/2</x:f>
        <x:v>101</x:v>
      </x:c>
      <x:c r="N96" s="2" t="str">
        <x:f aca="0">IF(G96&gt;=1,"вырос",IF(G96&lt;=-1,"снизился","мало изменился"))</x:f>
        <x:v>мало изменился</x:v>
      </x:c>
    </x:row>
    <x:row r="97" ht="15" hidden="0">
      <x:c r="A97" s="2" t="s">
        <x:v>109</x:v>
      </x:c>
      <x:c r="B97" s="3" t="n">
        <x:v>2.32</x:v>
      </x:c>
      <x:c r="C97" s="3" t="n">
        <x:v>49.05</x:v>
      </x:c>
      <x:c r="D97" s="3" t="n">
        <x:v>3.77</x:v>
      </x:c>
      <x:c r="E97" s="3" t="n">
        <x:v>50</x:v>
      </x:c>
      <x:c r="F97" s="4" t="n">
        <x:f aca="0">ROUND(D97-B97,2)</x:f>
        <x:v>1.45</x:v>
      </x:c>
      <x:c r="G97" s="4" t="n">
        <x:f aca="0">ROUND(E97-C97,2)</x:f>
        <x:v>0.95</x:v>
      </x:c>
      <x:c r="H97" s="5" t="n">
        <x:f aca="0">RANK(B97,B$2:B$128,1)+(COUNTIF(B$2:B$128,B97)-1)/2</x:f>
        <x:v>9</x:v>
      </x:c>
      <x:c r="I97" s="5" t="n">
        <x:f aca="0">RANK(C97,C$2:C$128,1)+(COUNTIF(C$2:C$128,C97)-1)/2</x:f>
        <x:v>46</x:v>
      </x:c>
      <x:c r="J97" s="5" t="n">
        <x:f aca="0">RANK(D97,D$2:D$128,1)+(COUNTIF(D$2:D$128,D97)-1)/2</x:f>
        <x:v>21.5</x:v>
      </x:c>
      <x:c r="K97" s="5" t="n">
        <x:f aca="0">RANK(E97,E$2:E$128,1)+(COUNTIF(E$2:E$128,E97)-1)/2</x:f>
        <x:v>68</x:v>
      </x:c>
      <x:c r="L97" s="5" t="n">
        <x:f aca="0">RANK(F97,F$2:F$128,1)+(COUNTIF(F$2:F$128,F97)-1)/2</x:f>
        <x:v>97.5</x:v>
      </x:c>
      <x:c r="M97" s="5" t="n">
        <x:f aca="0">RANK(G97,G$2:G$128,1)+(COUNTIF(G$2:G$128,G97)-1)/2</x:f>
        <x:v>98</x:v>
      </x:c>
      <x:c r="N97" s="2" t="str">
        <x:f aca="0">IF(G97&gt;=1,"вырос",IF(G97&lt;=-1,"снизился","мало изменился"))</x:f>
        <x:v>мало изменился</x:v>
      </x:c>
    </x:row>
    <x:row r="98" ht="15" hidden="0">
      <x:c r="A98" s="2" t="s">
        <x:v>110</x:v>
      </x:c>
      <x:c r="B98" s="3" t="n">
        <x:v>7.82</x:v>
      </x:c>
      <x:c r="C98" s="3" t="n">
        <x:v>48.34</x:v>
      </x:c>
      <x:c r="D98" s="3" t="n">
        <x:v>6.94</x:v>
      </x:c>
      <x:c r="E98" s="3" t="n">
        <x:v>46.68</x:v>
      </x:c>
      <x:c r="F98" s="4" t="n">
        <x:f aca="0">ROUND(D98-B98,2)</x:f>
        <x:v>-0.88</x:v>
      </x:c>
      <x:c r="G98" s="4" t="n">
        <x:f aca="0">ROUND(E98-C98,2)</x:f>
        <x:v>-1.66</x:v>
      </x:c>
      <x:c r="H98" s="5" t="n">
        <x:f aca="0">RANK(B98,B$2:B$128,1)+(COUNTIF(B$2:B$128,B98)-1)/2</x:f>
        <x:v>78</x:v>
      </x:c>
      <x:c r="I98" s="5" t="n">
        <x:f aca="0">RANK(C98,C$2:C$128,1)+(COUNTIF(C$2:C$128,C98)-1)/2</x:f>
        <x:v>31</x:v>
      </x:c>
      <x:c r="J98" s="5" t="n">
        <x:f aca="0">RANK(D98,D$2:D$128,1)+(COUNTIF(D$2:D$128,D98)-1)/2</x:f>
        <x:v>75</x:v>
      </x:c>
      <x:c r="K98" s="5" t="n">
        <x:f aca="0">RANK(E98,E$2:E$128,1)+(COUNTIF(E$2:E$128,E98)-1)/2</x:f>
        <x:v>13</x:v>
      </x:c>
      <x:c r="L98" s="5" t="n">
        <x:f aca="0">RANK(F98,F$2:F$128,1)+(COUNTIF(F$2:F$128,F98)-1)/2</x:f>
        <x:v>41</x:v>
      </x:c>
      <x:c r="M98" s="5" t="n">
        <x:f aca="0">RANK(G98,G$2:G$128,1)+(COUNTIF(G$2:G$128,G98)-1)/2</x:f>
        <x:v>20</x:v>
      </x:c>
      <x:c r="N98" s="2" t="str">
        <x:f aca="0">IF(G98&gt;=1,"вырос",IF(G98&lt;=-1,"снизился","мало изменился"))</x:f>
        <x:v>снизился</x:v>
      </x:c>
    </x:row>
    <x:row r="99" ht="15" hidden="0">
      <x:c r="A99" s="2" t="s">
        <x:v>111</x:v>
      </x:c>
      <x:c r="B99" s="3" t="n">
        <x:v>3.3</x:v>
      </x:c>
      <x:c r="C99" s="3" t="n">
        <x:v>48.81</x:v>
      </x:c>
      <x:c r="D99" s="3" t="n">
        <x:v>6.43</x:v>
      </x:c>
      <x:c r="E99" s="3" t="n">
        <x:v>50.56</x:v>
      </x:c>
      <x:c r="F99" s="4" t="n">
        <x:f aca="0">ROUND(D99-B99,2)</x:f>
        <x:v>3.13</x:v>
      </x:c>
      <x:c r="G99" s="4" t="n">
        <x:f aca="0">ROUND(E99-C99,2)</x:f>
        <x:v>1.75</x:v>
      </x:c>
      <x:c r="H99" s="5" t="n">
        <x:f aca="0">RANK(B99,B$2:B$128,1)+(COUNTIF(B$2:B$128,B99)-1)/2</x:f>
        <x:v>17.5</x:v>
      </x:c>
      <x:c r="I99" s="5" t="n">
        <x:f aca="0">RANK(C99,C$2:C$128,1)+(COUNTIF(C$2:C$128,C99)-1)/2</x:f>
        <x:v>42</x:v>
      </x:c>
      <x:c r="J99" s="5" t="n">
        <x:f aca="0">RANK(D99,D$2:D$128,1)+(COUNTIF(D$2:D$128,D99)-1)/2</x:f>
        <x:v>66</x:v>
      </x:c>
      <x:c r="K99" s="5" t="n">
        <x:f aca="0">RANK(E99,E$2:E$128,1)+(COUNTIF(E$2:E$128,E99)-1)/2</x:f>
        <x:v>84</x:v>
      </x:c>
      <x:c r="L99" s="5" t="n">
        <x:f aca="0">RANK(F99,F$2:F$128,1)+(COUNTIF(F$2:F$128,F99)-1)/2</x:f>
        <x:v>115.5</x:v>
      </x:c>
      <x:c r="M99" s="5" t="n">
        <x:f aca="0">RANK(G99,G$2:G$128,1)+(COUNTIF(G$2:G$128,G99)-1)/2</x:f>
        <x:v>113</x:v>
      </x:c>
      <x:c r="N99" s="2" t="str">
        <x:f aca="0">IF(G99&gt;=1,"вырос",IF(G99&lt;=-1,"снизился","мало изменился"))</x:f>
        <x:v>вырос</x:v>
      </x:c>
    </x:row>
    <x:row r="100" ht="15" hidden="0">
      <x:c r="A100" s="2" t="s">
        <x:v>112</x:v>
      </x:c>
      <x:c r="B100" s="3" t="n">
        <x:v>11.9</x:v>
      </x:c>
      <x:c r="C100" s="3" t="n">
        <x:v>47.56</x:v>
      </x:c>
      <x:c r="D100" s="3" t="n">
        <x:v>13.53</x:v>
      </x:c>
      <x:c r="E100" s="3" t="n">
        <x:v>50.31</x:v>
      </x:c>
      <x:c r="F100" s="4" t="n">
        <x:f aca="0">ROUND(D100-B100,2)</x:f>
        <x:v>1.63</x:v>
      </x:c>
      <x:c r="G100" s="4" t="n">
        <x:f aca="0">ROUND(E100-C100,2)</x:f>
        <x:v>2.75</x:v>
      </x:c>
      <x:c r="H100" s="5" t="n">
        <x:f aca="0">RANK(B100,B$2:B$128,1)+(COUNTIF(B$2:B$128,B100)-1)/2</x:f>
        <x:v>103</x:v>
      </x:c>
      <x:c r="I100" s="5" t="n">
        <x:f aca="0">RANK(C100,C$2:C$128,1)+(COUNTIF(C$2:C$128,C100)-1)/2</x:f>
        <x:v>16</x:v>
      </x:c>
      <x:c r="J100" s="5" t="n">
        <x:f aca="0">RANK(D100,D$2:D$128,1)+(COUNTIF(D$2:D$128,D100)-1)/2</x:f>
        <x:v>110</x:v>
      </x:c>
      <x:c r="K100" s="5" t="n">
        <x:f aca="0">RANK(E100,E$2:E$128,1)+(COUNTIF(E$2:E$128,E100)-1)/2</x:f>
        <x:v>78</x:v>
      </x:c>
      <x:c r="L100" s="5" t="n">
        <x:f aca="0">RANK(F100,F$2:F$128,1)+(COUNTIF(F$2:F$128,F100)-1)/2</x:f>
        <x:v>101</x:v>
      </x:c>
      <x:c r="M100" s="5" t="n">
        <x:f aca="0">RANK(G100,G$2:G$128,1)+(COUNTIF(G$2:G$128,G100)-1)/2</x:f>
        <x:v>125.5</x:v>
      </x:c>
      <x:c r="N100" s="2" t="str">
        <x:f aca="0">IF(G100&gt;=1,"вырос",IF(G100&lt;=-1,"снизился","мало изменился"))</x:f>
        <x:v>вырос</x:v>
      </x:c>
    </x:row>
    <x:row r="101" ht="15" hidden="0">
      <x:c r="A101" s="2" t="s">
        <x:v>113</x:v>
      </x:c>
      <x:c r="B101" s="3" t="n">
        <x:v>4.96</x:v>
      </x:c>
      <x:c r="C101" s="3" t="n">
        <x:v>48.61</x:v>
      </x:c>
      <x:c r="D101" s="3" t="n">
        <x:v>4.27</x:v>
      </x:c>
      <x:c r="E101" s="3" t="n">
        <x:v>47.39</x:v>
      </x:c>
      <x:c r="F101" s="4" t="n">
        <x:f aca="0">ROUND(D101-B101,2)</x:f>
        <x:v>-0.69</x:v>
      </x:c>
      <x:c r="G101" s="4" t="n">
        <x:f aca="0">ROUND(E101-C101,2)</x:f>
        <x:v>-1.22</x:v>
      </x:c>
      <x:c r="H101" s="5" t="n">
        <x:f aca="0">RANK(B101,B$2:B$128,1)+(COUNTIF(B$2:B$128,B101)-1)/2</x:f>
        <x:v>38</x:v>
      </x:c>
      <x:c r="I101" s="5" t="n">
        <x:f aca="0">RANK(C101,C$2:C$128,1)+(COUNTIF(C$2:C$128,C101)-1)/2</x:f>
        <x:v>36</x:v>
      </x:c>
      <x:c r="J101" s="5" t="n">
        <x:f aca="0">RANK(D101,D$2:D$128,1)+(COUNTIF(D$2:D$128,D101)-1)/2</x:f>
        <x:v>33</x:v>
      </x:c>
      <x:c r="K101" s="5" t="n">
        <x:f aca="0">RANK(E101,E$2:E$128,1)+(COUNTIF(E$2:E$128,E101)-1)/2</x:f>
        <x:v>23</x:v>
      </x:c>
      <x:c r="L101" s="5" t="n">
        <x:f aca="0">RANK(F101,F$2:F$128,1)+(COUNTIF(F$2:F$128,F101)-1)/2</x:f>
        <x:v>47</x:v>
      </x:c>
      <x:c r="M101" s="5" t="n">
        <x:f aca="0">RANK(G101,G$2:G$128,1)+(COUNTIF(G$2:G$128,G101)-1)/2</x:f>
        <x:v>30</x:v>
      </x:c>
      <x:c r="N101" s="2" t="str">
        <x:f aca="0">IF(G101&gt;=1,"вырос",IF(G101&lt;=-1,"снизился","мало изменился"))</x:f>
        <x:v>снизился</x:v>
      </x:c>
    </x:row>
    <x:row r="102" ht="15" hidden="0">
      <x:c r="A102" s="2" t="s">
        <x:v>114</x:v>
      </x:c>
      <x:c r="B102" s="3" t="n">
        <x:v>5.87</x:v>
      </x:c>
      <x:c r="C102" s="3" t="n">
        <x:v>48.08</x:v>
      </x:c>
      <x:c r="D102" s="3" t="n">
        <x:v>4.08</x:v>
      </x:c>
      <x:c r="E102" s="3" t="n">
        <x:v>46.84</x:v>
      </x:c>
      <x:c r="F102" s="4" t="n">
        <x:f aca="0">ROUND(D102-B102,2)</x:f>
        <x:v>-1.79</x:v>
      </x:c>
      <x:c r="G102" s="4" t="n">
        <x:f aca="0">ROUND(E102-C102,2)</x:f>
        <x:v>-1.24</x:v>
      </x:c>
      <x:c r="H102" s="5" t="n">
        <x:f aca="0">RANK(B102,B$2:B$128,1)+(COUNTIF(B$2:B$128,B102)-1)/2</x:f>
        <x:v>59</x:v>
      </x:c>
      <x:c r="I102" s="5" t="n">
        <x:f aca="0">RANK(C102,C$2:C$128,1)+(COUNTIF(C$2:C$128,C102)-1)/2</x:f>
        <x:v>23</x:v>
      </x:c>
      <x:c r="J102" s="5" t="n">
        <x:f aca="0">RANK(D102,D$2:D$128,1)+(COUNTIF(D$2:D$128,D102)-1)/2</x:f>
        <x:v>26.5</x:v>
      </x:c>
      <x:c r="K102" s="5" t="n">
        <x:f aca="0">RANK(E102,E$2:E$128,1)+(COUNTIF(E$2:E$128,E102)-1)/2</x:f>
        <x:v>15</x:v>
      </x:c>
      <x:c r="L102" s="5" t="n">
        <x:f aca="0">RANK(F102,F$2:F$128,1)+(COUNTIF(F$2:F$128,F102)-1)/2</x:f>
        <x:v>23</x:v>
      </x:c>
      <x:c r="M102" s="5" t="n">
        <x:f aca="0">RANK(G102,G$2:G$128,1)+(COUNTIF(G$2:G$128,G102)-1)/2</x:f>
        <x:v>29</x:v>
      </x:c>
      <x:c r="N102" s="2" t="str">
        <x:f aca="0">IF(G102&gt;=1,"вырос",IF(G102&lt;=-1,"снизился","мало изменился"))</x:f>
        <x:v>снизился</x:v>
      </x:c>
    </x:row>
    <x:row r="103" ht="15" hidden="0">
      <x:c r="A103" s="2" t="s">
        <x:v>115</x:v>
      </x:c>
      <x:c r="B103" s="3" t="n">
        <x:v>3.88</x:v>
      </x:c>
      <x:c r="C103" s="3" t="n">
        <x:v>48.61</x:v>
      </x:c>
      <x:c r="D103" s="3" t="n">
        <x:v>4.17</x:v>
      </x:c>
      <x:c r="E103" s="3" t="n">
        <x:v>47.96</x:v>
      </x:c>
      <x:c r="F103" s="4" t="n">
        <x:f aca="0">ROUND(D103-B103,2)</x:f>
        <x:v>0.29</x:v>
      </x:c>
      <x:c r="G103" s="4" t="n">
        <x:f aca="0">ROUND(E103-C103,2)</x:f>
        <x:v>-0.65</x:v>
      </x:c>
      <x:c r="H103" s="5" t="n">
        <x:f aca="0">RANK(B103,B$2:B$128,1)+(COUNTIF(B$2:B$128,B103)-1)/2</x:f>
        <x:v>25</x:v>
      </x:c>
      <x:c r="I103" s="5" t="n">
        <x:f aca="0">RANK(C103,C$2:C$128,1)+(COUNTIF(C$2:C$128,C103)-1)/2</x:f>
        <x:v>36</x:v>
      </x:c>
      <x:c r="J103" s="5" t="n">
        <x:f aca="0">RANK(D103,D$2:D$128,1)+(COUNTIF(D$2:D$128,D103)-1)/2</x:f>
        <x:v>31</x:v>
      </x:c>
      <x:c r="K103" s="5" t="n">
        <x:f aca="0">RANK(E103,E$2:E$128,1)+(COUNTIF(E$2:E$128,E103)-1)/2</x:f>
        <x:v>29</x:v>
      </x:c>
      <x:c r="L103" s="5" t="n">
        <x:f aca="0">RANK(F103,F$2:F$128,1)+(COUNTIF(F$2:F$128,F103)-1)/2</x:f>
        <x:v>77</x:v>
      </x:c>
      <x:c r="M103" s="5" t="n">
        <x:f aca="0">RANK(G103,G$2:G$128,1)+(COUNTIF(G$2:G$128,G103)-1)/2</x:f>
        <x:v>46</x:v>
      </x:c>
      <x:c r="N103" s="2" t="str">
        <x:f aca="0">IF(G103&gt;=1,"вырос",IF(G103&lt;=-1,"снизился","мало изменился"))</x:f>
        <x:v>мало изменился</x:v>
      </x:c>
    </x:row>
    <x:row r="104" ht="15" hidden="0">
      <x:c r="A104" s="2" t="s">
        <x:v>116</x:v>
      </x:c>
      <x:c r="B104" s="3" t="n">
        <x:v>8.48</x:v>
      </x:c>
      <x:c r="C104" s="3" t="n">
        <x:v>47.76</x:v>
      </x:c>
      <x:c r="D104" s="3" t="n">
        <x:v>2.08</x:v>
      </x:c>
      <x:c r="E104" s="3" t="n">
        <x:v>47.97</x:v>
      </x:c>
      <x:c r="F104" s="4" t="n">
        <x:f aca="0">ROUND(D104-B104,2)</x:f>
        <x:v>-6.4</x:v>
      </x:c>
      <x:c r="G104" s="4" t="n">
        <x:f aca="0">ROUND(E104-C104,2)</x:f>
        <x:v>0.21</x:v>
      </x:c>
      <x:c r="H104" s="5" t="n">
        <x:f aca="0">RANK(B104,B$2:B$128,1)+(COUNTIF(B$2:B$128,B104)-1)/2</x:f>
        <x:v>83</x:v>
      </x:c>
      <x:c r="I104" s="5" t="n">
        <x:f aca="0">RANK(C104,C$2:C$128,1)+(COUNTIF(C$2:C$128,C104)-1)/2</x:f>
        <x:v>19</x:v>
      </x:c>
      <x:c r="J104" s="5" t="n">
        <x:f aca="0">RANK(D104,D$2:D$128,1)+(COUNTIF(D$2:D$128,D104)-1)/2</x:f>
        <x:v>8</x:v>
      </x:c>
      <x:c r="K104" s="5" t="n">
        <x:f aca="0">RANK(E104,E$2:E$128,1)+(COUNTIF(E$2:E$128,E104)-1)/2</x:f>
        <x:v>30</x:v>
      </x:c>
      <x:c r="L104" s="5" t="n">
        <x:f aca="0">RANK(F104,F$2:F$128,1)+(COUNTIF(F$2:F$128,F104)-1)/2</x:f>
        <x:v>1</x:v>
      </x:c>
      <x:c r="M104" s="5" t="n">
        <x:f aca="0">RANK(G104,G$2:G$128,1)+(COUNTIF(G$2:G$128,G104)-1)/2</x:f>
        <x:v>75</x:v>
      </x:c>
      <x:c r="N104" s="2" t="str">
        <x:f aca="0">IF(G104&gt;=1,"вырос",IF(G104&lt;=-1,"снизился","мало изменился"))</x:f>
        <x:v>мало изменился</x:v>
      </x:c>
    </x:row>
    <x:row r="105" ht="15" hidden="0">
      <x:c r="A105" s="2" t="s">
        <x:v>117</x:v>
      </x:c>
      <x:c r="B105" s="3" t="n">
        <x:v>4.28</x:v>
      </x:c>
      <x:c r="C105" s="3" t="n">
        <x:v>48.44</x:v>
      </x:c>
      <x:c r="D105" s="3" t="n">
        <x:v>3.63</x:v>
      </x:c>
      <x:c r="E105" s="3" t="n">
        <x:v>49.4</x:v>
      </x:c>
      <x:c r="F105" s="4" t="n">
        <x:f aca="0">ROUND(D105-B105,2)</x:f>
        <x:v>-0.65</x:v>
      </x:c>
      <x:c r="G105" s="4" t="n">
        <x:f aca="0">ROUND(E105-C105,2)</x:f>
        <x:v>0.96</x:v>
      </x:c>
      <x:c r="H105" s="5" t="n">
        <x:f aca="0">RANK(B105,B$2:B$128,1)+(COUNTIF(B$2:B$128,B105)-1)/2</x:f>
        <x:v>30</x:v>
      </x:c>
      <x:c r="I105" s="5" t="n">
        <x:f aca="0">RANK(C105,C$2:C$128,1)+(COUNTIF(C$2:C$128,C105)-1)/2</x:f>
        <x:v>33</x:v>
      </x:c>
      <x:c r="J105" s="5" t="n">
        <x:f aca="0">RANK(D105,D$2:D$128,1)+(COUNTIF(D$2:D$128,D105)-1)/2</x:f>
        <x:v>19</x:v>
      </x:c>
      <x:c r="K105" s="5" t="n">
        <x:f aca="0">RANK(E105,E$2:E$128,1)+(COUNTIF(E$2:E$128,E105)-1)/2</x:f>
        <x:v>50</x:v>
      </x:c>
      <x:c r="L105" s="5" t="n">
        <x:f aca="0">RANK(F105,F$2:F$128,1)+(COUNTIF(F$2:F$128,F105)-1)/2</x:f>
        <x:v>48</x:v>
      </x:c>
      <x:c r="M105" s="5" t="n">
        <x:f aca="0">RANK(G105,G$2:G$128,1)+(COUNTIF(G$2:G$128,G105)-1)/2</x:f>
        <x:v>99.5</x:v>
      </x:c>
      <x:c r="N105" s="2" t="str">
        <x:f aca="0">IF(G105&gt;=1,"вырос",IF(G105&lt;=-1,"снизился","мало изменился"))</x:f>
        <x:v>мало изменился</x:v>
      </x:c>
    </x:row>
    <x:row r="106" ht="15" hidden="0">
      <x:c r="A106" s="2" t="s">
        <x:v>118</x:v>
      </x:c>
      <x:c r="B106" s="3" t="n">
        <x:v>6.81</x:v>
      </x:c>
      <x:c r="C106" s="3" t="n">
        <x:v>48.2</x:v>
      </x:c>
      <x:c r="D106" s="3" t="n">
        <x:v>7.36</x:v>
      </x:c>
      <x:c r="E106" s="3" t="n">
        <x:v>49.11</x:v>
      </x:c>
      <x:c r="F106" s="4" t="n">
        <x:f aca="0">ROUND(D106-B106,2)</x:f>
        <x:v>0.55</x:v>
      </x:c>
      <x:c r="G106" s="4" t="n">
        <x:f aca="0">ROUND(E106-C106,2)</x:f>
        <x:v>0.91</x:v>
      </x:c>
      <x:c r="H106" s="5" t="n">
        <x:f aca="0">RANK(B106,B$2:B$128,1)+(COUNTIF(B$2:B$128,B106)-1)/2</x:f>
        <x:v>68.5</x:v>
      </x:c>
      <x:c r="I106" s="5" t="n">
        <x:f aca="0">RANK(C106,C$2:C$128,1)+(COUNTIF(C$2:C$128,C106)-1)/2</x:f>
        <x:v>27</x:v>
      </x:c>
      <x:c r="J106" s="5" t="n">
        <x:f aca="0">RANK(D106,D$2:D$128,1)+(COUNTIF(D$2:D$128,D106)-1)/2</x:f>
        <x:v>78</x:v>
      </x:c>
      <x:c r="K106" s="5" t="n">
        <x:f aca="0">RANK(E106,E$2:E$128,1)+(COUNTIF(E$2:E$128,E106)-1)/2</x:f>
        <x:v>44</x:v>
      </x:c>
      <x:c r="L106" s="5" t="n">
        <x:f aca="0">RANK(F106,F$2:F$128,1)+(COUNTIF(F$2:F$128,F106)-1)/2</x:f>
        <x:v>82</x:v>
      </x:c>
      <x:c r="M106" s="5" t="n">
        <x:f aca="0">RANK(G106,G$2:G$128,1)+(COUNTIF(G$2:G$128,G106)-1)/2</x:f>
        <x:v>97</x:v>
      </x:c>
      <x:c r="N106" s="2" t="str">
        <x:f aca="0">IF(G106&gt;=1,"вырос",IF(G106&lt;=-1,"снизился","мало изменился"))</x:f>
        <x:v>мало изменился</x:v>
      </x:c>
    </x:row>
    <x:row r="107" ht="15" hidden="0">
      <x:c r="A107" s="2" t="s">
        <x:v>119</x:v>
      </x:c>
      <x:c r="B107" s="3" t="n">
        <x:v>6.01</x:v>
      </x:c>
      <x:c r="C107" s="3" t="n">
        <x:v>48.3</x:v>
      </x:c>
      <x:c r="D107" s="3" t="n">
        <x:v>5.73</x:v>
      </x:c>
      <x:c r="E107" s="3" t="n">
        <x:v>47.94</x:v>
      </x:c>
      <x:c r="F107" s="4" t="n">
        <x:f aca="0">ROUND(D107-B107,2)</x:f>
        <x:v>-0.28</x:v>
      </x:c>
      <x:c r="G107" s="4" t="n">
        <x:f aca="0">ROUND(E107-C107,2)</x:f>
        <x:v>-0.36</x:v>
      </x:c>
      <x:c r="H107" s="5" t="n">
        <x:f aca="0">RANK(B107,B$2:B$128,1)+(COUNTIF(B$2:B$128,B107)-1)/2</x:f>
        <x:v>60</x:v>
      </x:c>
      <x:c r="I107" s="5" t="n">
        <x:f aca="0">RANK(C107,C$2:C$128,1)+(COUNTIF(C$2:C$128,C107)-1)/2</x:f>
        <x:v>30</x:v>
      </x:c>
      <x:c r="J107" s="5" t="n">
        <x:f aca="0">RANK(D107,D$2:D$128,1)+(COUNTIF(D$2:D$128,D107)-1)/2</x:f>
        <x:v>59</x:v>
      </x:c>
      <x:c r="K107" s="5" t="n">
        <x:f aca="0">RANK(E107,E$2:E$128,1)+(COUNTIF(E$2:E$128,E107)-1)/2</x:f>
        <x:v>28</x:v>
      </x:c>
      <x:c r="L107" s="5" t="n">
        <x:f aca="0">RANK(F107,F$2:F$128,1)+(COUNTIF(F$2:F$128,F107)-1)/2</x:f>
        <x:v>59</x:v>
      </x:c>
      <x:c r="M107" s="5" t="n">
        <x:f aca="0">RANK(G107,G$2:G$128,1)+(COUNTIF(G$2:G$128,G107)-1)/2</x:f>
        <x:v>55.5</x:v>
      </x:c>
      <x:c r="N107" s="2" t="str">
        <x:f aca="0">IF(G107&gt;=1,"вырос",IF(G107&lt;=-1,"снизился","мало изменился"))</x:f>
        <x:v>мало изменился</x:v>
      </x:c>
    </x:row>
    <x:row r="108" ht="15" hidden="0">
      <x:c r="A108" s="2" t="s">
        <x:v>120</x:v>
      </x:c>
      <x:c r="B108" s="3" t="n">
        <x:v>1.72</x:v>
      </x:c>
      <x:c r="C108" s="3" t="n">
        <x:v>48.09</x:v>
      </x:c>
      <x:c r="D108" s="3" t="n">
        <x:v>3.68</x:v>
      </x:c>
      <x:c r="E108" s="3" t="n">
        <x:v>49.8</x:v>
      </x:c>
      <x:c r="F108" s="4" t="n">
        <x:f aca="0">ROUND(D108-B108,2)</x:f>
        <x:v>1.96</x:v>
      </x:c>
      <x:c r="G108" s="4" t="n">
        <x:f aca="0">ROUND(E108-C108,2)</x:f>
        <x:v>1.71</x:v>
      </x:c>
      <x:c r="H108" s="5" t="n">
        <x:f aca="0">RANK(B108,B$2:B$128,1)+(COUNTIF(B$2:B$128,B108)-1)/2</x:f>
        <x:v>4</x:v>
      </x:c>
      <x:c r="I108" s="5" t="n">
        <x:f aca="0">RANK(C108,C$2:C$128,1)+(COUNTIF(C$2:C$128,C108)-1)/2</x:f>
        <x:v>24</x:v>
      </x:c>
      <x:c r="J108" s="5" t="n">
        <x:f aca="0">RANK(D108,D$2:D$128,1)+(COUNTIF(D$2:D$128,D108)-1)/2</x:f>
        <x:v>20</x:v>
      </x:c>
      <x:c r="K108" s="5" t="n">
        <x:f aca="0">RANK(E108,E$2:E$128,1)+(COUNTIF(E$2:E$128,E108)-1)/2</x:f>
        <x:v>58.5</x:v>
      </x:c>
      <x:c r="L108" s="5" t="n">
        <x:f aca="0">RANK(F108,F$2:F$128,1)+(COUNTIF(F$2:F$128,F108)-1)/2</x:f>
        <x:v>104</x:v>
      </x:c>
      <x:c r="M108" s="5" t="n">
        <x:f aca="0">RANK(G108,G$2:G$128,1)+(COUNTIF(G$2:G$128,G108)-1)/2</x:f>
        <x:v>111</x:v>
      </x:c>
      <x:c r="N108" s="2" t="str">
        <x:f aca="0">IF(G108&gt;=1,"вырос",IF(G108&lt;=-1,"снизился","мало изменился"))</x:f>
        <x:v>вырос</x:v>
      </x:c>
    </x:row>
    <x:row r="109" ht="15" hidden="0">
      <x:c r="A109" s="2" t="s">
        <x:v>121</x:v>
      </x:c>
      <x:c r="B109" s="3" t="n">
        <x:v>6.13</x:v>
      </x:c>
      <x:c r="C109" s="3" t="n">
        <x:v>48.04</x:v>
      </x:c>
      <x:c r="D109" s="3" t="n">
        <x:v>5.07</x:v>
      </x:c>
      <x:c r="E109" s="3" t="n">
        <x:v>45.91</x:v>
      </x:c>
      <x:c r="F109" s="4" t="n">
        <x:f aca="0">ROUND(D109-B109,2)</x:f>
        <x:v>-1.06</x:v>
      </x:c>
      <x:c r="G109" s="4" t="n">
        <x:f aca="0">ROUND(E109-C109,2)</x:f>
        <x:v>-2.13</x:v>
      </x:c>
      <x:c r="H109" s="5" t="n">
        <x:f aca="0">RANK(B109,B$2:B$128,1)+(COUNTIF(B$2:B$128,B109)-1)/2</x:f>
        <x:v>61</x:v>
      </x:c>
      <x:c r="I109" s="5" t="n">
        <x:f aca="0">RANK(C109,C$2:C$128,1)+(COUNTIF(C$2:C$128,C109)-1)/2</x:f>
        <x:v>22</x:v>
      </x:c>
      <x:c r="J109" s="5" t="n">
        <x:f aca="0">RANK(D109,D$2:D$128,1)+(COUNTIF(D$2:D$128,D109)-1)/2</x:f>
        <x:v>47</x:v>
      </x:c>
      <x:c r="K109" s="5" t="n">
        <x:f aca="0">RANK(E109,E$2:E$128,1)+(COUNTIF(E$2:E$128,E109)-1)/2</x:f>
        <x:v>8</x:v>
      </x:c>
      <x:c r="L109" s="5" t="n">
        <x:f aca="0">RANK(F109,F$2:F$128,1)+(COUNTIF(F$2:F$128,F109)-1)/2</x:f>
        <x:v>39</x:v>
      </x:c>
      <x:c r="M109" s="5" t="n">
        <x:f aca="0">RANK(G109,G$2:G$128,1)+(COUNTIF(G$2:G$128,G109)-1)/2</x:f>
        <x:v>14</x:v>
      </x:c>
      <x:c r="N109" s="2" t="str">
        <x:f aca="0">IF(G109&gt;=1,"вырос",IF(G109&lt;=-1,"снизился","мало изменился"))</x:f>
        <x:v>снизился</x:v>
      </x:c>
    </x:row>
    <x:row r="110" ht="15" hidden="0">
      <x:c r="A110" s="2" t="s">
        <x:v>122</x:v>
      </x:c>
      <x:c r="B110" s="3" t="n">
        <x:v>7.23</x:v>
      </x:c>
      <x:c r="C110" s="3" t="n">
        <x:v>48.14</x:v>
      </x:c>
      <x:c r="D110" s="3" t="n">
        <x:v>13.32</x:v>
      </x:c>
      <x:c r="E110" s="3" t="n">
        <x:v>50.89</x:v>
      </x:c>
      <x:c r="F110" s="4" t="n">
        <x:f aca="0">ROUND(D110-B110,2)</x:f>
        <x:v>6.09</x:v>
      </x:c>
      <x:c r="G110" s="4" t="n">
        <x:f aca="0">ROUND(E110-C110,2)</x:f>
        <x:v>2.75</x:v>
      </x:c>
      <x:c r="H110" s="5" t="n">
        <x:f aca="0">RANK(B110,B$2:B$128,1)+(COUNTIF(B$2:B$128,B110)-1)/2</x:f>
        <x:v>74</x:v>
      </x:c>
      <x:c r="I110" s="5" t="n">
        <x:f aca="0">RANK(C110,C$2:C$128,1)+(COUNTIF(C$2:C$128,C110)-1)/2</x:f>
        <x:v>25</x:v>
      </x:c>
      <x:c r="J110" s="5" t="n">
        <x:f aca="0">RANK(D110,D$2:D$128,1)+(COUNTIF(D$2:D$128,D110)-1)/2</x:f>
        <x:v>108</x:v>
      </x:c>
      <x:c r="K110" s="5" t="n">
        <x:f aca="0">RANK(E110,E$2:E$128,1)+(COUNTIF(E$2:E$128,E110)-1)/2</x:f>
        <x:v>89</x:v>
      </x:c>
      <x:c r="L110" s="5" t="n">
        <x:f aca="0">RANK(F110,F$2:F$128,1)+(COUNTIF(F$2:F$128,F110)-1)/2</x:f>
        <x:v>126</x:v>
      </x:c>
      <x:c r="M110" s="5" t="n">
        <x:f aca="0">RANK(G110,G$2:G$128,1)+(COUNTIF(G$2:G$128,G110)-1)/2</x:f>
        <x:v>125.5</x:v>
      </x:c>
      <x:c r="N110" s="2" t="str">
        <x:f aca="0">IF(G110&gt;=1,"вырос",IF(G110&lt;=-1,"снизился","мало изменился"))</x:f>
        <x:v>вырос</x:v>
      </x:c>
    </x:row>
    <x:row r="111" ht="15" hidden="0">
      <x:c r="A111" s="2" t="s">
        <x:v>123</x:v>
      </x:c>
      <x:c r="B111" s="3" t="n">
        <x:v>6.31</x:v>
      </x:c>
      <x:c r="C111" s="3" t="n">
        <x:v>47.88</x:v>
      </x:c>
      <x:c r="D111" s="3" t="n">
        <x:v>8.15</x:v>
      </x:c>
      <x:c r="E111" s="3" t="n">
        <x:v>49.65</x:v>
      </x:c>
      <x:c r="F111" s="4" t="n">
        <x:f aca="0">ROUND(D111-B111,2)</x:f>
        <x:v>1.84</x:v>
      </x:c>
      <x:c r="G111" s="4" t="n">
        <x:f aca="0">ROUND(E111-C111,2)</x:f>
        <x:v>1.77</x:v>
      </x:c>
      <x:c r="H111" s="5" t="n">
        <x:f aca="0">RANK(B111,B$2:B$128,1)+(COUNTIF(B$2:B$128,B111)-1)/2</x:f>
        <x:v>63</x:v>
      </x:c>
      <x:c r="I111" s="5" t="n">
        <x:f aca="0">RANK(C111,C$2:C$128,1)+(COUNTIF(C$2:C$128,C111)-1)/2</x:f>
        <x:v>20</x:v>
      </x:c>
      <x:c r="J111" s="5" t="n">
        <x:f aca="0">RANK(D111,D$2:D$128,1)+(COUNTIF(D$2:D$128,D111)-1)/2</x:f>
        <x:v>82</x:v>
      </x:c>
      <x:c r="K111" s="5" t="n">
        <x:f aca="0">RANK(E111,E$2:E$128,1)+(COUNTIF(E$2:E$128,E111)-1)/2</x:f>
        <x:v>52</x:v>
      </x:c>
      <x:c r="L111" s="5" t="n">
        <x:f aca="0">RANK(F111,F$2:F$128,1)+(COUNTIF(F$2:F$128,F111)-1)/2</x:f>
        <x:v>103</x:v>
      </x:c>
      <x:c r="M111" s="5" t="n">
        <x:f aca="0">RANK(G111,G$2:G$128,1)+(COUNTIF(G$2:G$128,G111)-1)/2</x:f>
        <x:v>114</x:v>
      </x:c>
      <x:c r="N111" s="2" t="str">
        <x:f aca="0">IF(G111&gt;=1,"вырос",IF(G111&lt;=-1,"снизился","мало изменился"))</x:f>
        <x:v>вырос</x:v>
      </x:c>
    </x:row>
    <x:row r="112" ht="15" hidden="0">
      <x:c r="A112" s="2" t="s">
        <x:v>124</x:v>
      </x:c>
      <x:c r="B112" s="3" t="n">
        <x:v>3.17</x:v>
      </x:c>
      <x:c r="C112" s="3" t="n">
        <x:v>47.92</x:v>
      </x:c>
      <x:c r="D112" s="3" t="n">
        <x:v>2.45</x:v>
      </x:c>
      <x:c r="E112" s="3" t="n">
        <x:v>45.18</x:v>
      </x:c>
      <x:c r="F112" s="4" t="n">
        <x:f aca="0">ROUND(D112-B112,2)</x:f>
        <x:v>-0.72</x:v>
      </x:c>
      <x:c r="G112" s="4" t="n">
        <x:f aca="0">ROUND(E112-C112,2)</x:f>
        <x:v>-2.74</x:v>
      </x:c>
      <x:c r="H112" s="5" t="n">
        <x:f aca="0">RANK(B112,B$2:B$128,1)+(COUNTIF(B$2:B$128,B112)-1)/2</x:f>
        <x:v>16</x:v>
      </x:c>
      <x:c r="I112" s="5" t="n">
        <x:f aca="0">RANK(C112,C$2:C$128,1)+(COUNTIF(C$2:C$128,C112)-1)/2</x:f>
        <x:v>21</x:v>
      </x:c>
      <x:c r="J112" s="5" t="n">
        <x:f aca="0">RANK(D112,D$2:D$128,1)+(COUNTIF(D$2:D$128,D112)-1)/2</x:f>
        <x:v>10</x:v>
      </x:c>
      <x:c r="K112" s="5" t="n">
        <x:f aca="0">RANK(E112,E$2:E$128,1)+(COUNTIF(E$2:E$128,E112)-1)/2</x:f>
        <x:v>5</x:v>
      </x:c>
      <x:c r="L112" s="5" t="n">
        <x:f aca="0">RANK(F112,F$2:F$128,1)+(COUNTIF(F$2:F$128,F112)-1)/2</x:f>
        <x:v>45</x:v>
      </x:c>
      <x:c r="M112" s="5" t="n">
        <x:f aca="0">RANK(G112,G$2:G$128,1)+(COUNTIF(G$2:G$128,G112)-1)/2</x:f>
        <x:v>6</x:v>
      </x:c>
      <x:c r="N112" s="2" t="str">
        <x:f aca="0">IF(G112&gt;=1,"вырос",IF(G112&lt;=-1,"снизился","мало изменился"))</x:f>
        <x:v>снизился</x:v>
      </x:c>
    </x:row>
    <x:row r="113" ht="15" hidden="0">
      <x:c r="A113" s="2" t="s">
        <x:v>125</x:v>
      </x:c>
      <x:c r="B113" s="3" t="n">
        <x:v>3.55</x:v>
      </x:c>
      <x:c r="C113" s="3" t="n">
        <x:v>47.67</x:v>
      </x:c>
      <x:c r="D113" s="3" t="n">
        <x:v>4.97</x:v>
      </x:c>
      <x:c r="E113" s="3" t="n">
        <x:v>48.16</x:v>
      </x:c>
      <x:c r="F113" s="4" t="n">
        <x:f aca="0">ROUND(D113-B113,2)</x:f>
        <x:v>1.42</x:v>
      </x:c>
      <x:c r="G113" s="4" t="n">
        <x:f aca="0">ROUND(E113-C113,2)</x:f>
        <x:v>0.49</x:v>
      </x:c>
      <x:c r="H113" s="5" t="n">
        <x:f aca="0">RANK(B113,B$2:B$128,1)+(COUNTIF(B$2:B$128,B113)-1)/2</x:f>
        <x:v>22</x:v>
      </x:c>
      <x:c r="I113" s="5" t="n">
        <x:f aca="0">RANK(C113,C$2:C$128,1)+(COUNTIF(C$2:C$128,C113)-1)/2</x:f>
        <x:v>17</x:v>
      </x:c>
      <x:c r="J113" s="5" t="n">
        <x:f aca="0">RANK(D113,D$2:D$128,1)+(COUNTIF(D$2:D$128,D113)-1)/2</x:f>
        <x:v>43.5</x:v>
      </x:c>
      <x:c r="K113" s="5" t="n">
        <x:f aca="0">RANK(E113,E$2:E$128,1)+(COUNTIF(E$2:E$128,E113)-1)/2</x:f>
        <x:v>32</x:v>
      </x:c>
      <x:c r="L113" s="5" t="n">
        <x:f aca="0">RANK(F113,F$2:F$128,1)+(COUNTIF(F$2:F$128,F113)-1)/2</x:f>
        <x:v>95.5</x:v>
      </x:c>
      <x:c r="M113" s="5" t="n">
        <x:f aca="0">RANK(G113,G$2:G$128,1)+(COUNTIF(G$2:G$128,G113)-1)/2</x:f>
        <x:v>86.5</x:v>
      </x:c>
      <x:c r="N113" s="2" t="str">
        <x:f aca="0">IF(G113&gt;=1,"вырос",IF(G113&lt;=-1,"снизился","мало изменился"))</x:f>
        <x:v>мало изменился</x:v>
      </x:c>
    </x:row>
    <x:row r="114" ht="15" hidden="0">
      <x:c r="A114" s="2" t="s">
        <x:v>126</x:v>
      </x:c>
      <x:c r="B114" s="3" t="n">
        <x:v>5.02</x:v>
      </x:c>
      <x:c r="C114" s="3" t="n">
        <x:v>46.87</x:v>
      </x:c>
      <x:c r="D114" s="3" t="n">
        <x:v>5.03</x:v>
      </x:c>
      <x:c r="E114" s="3" t="n">
        <x:v>45.67</x:v>
      </x:c>
      <x:c r="F114" s="4" t="n">
        <x:f aca="0">ROUND(D114-B114,2)</x:f>
        <x:v>0.01</x:v>
      </x:c>
      <x:c r="G114" s="4" t="n">
        <x:f aca="0">ROUND(E114-C114,2)</x:f>
        <x:v>-1.2</x:v>
      </x:c>
      <x:c r="H114" s="5" t="n">
        <x:f aca="0">RANK(B114,B$2:B$128,1)+(COUNTIF(B$2:B$128,B114)-1)/2</x:f>
        <x:v>41.5</x:v>
      </x:c>
      <x:c r="I114" s="5" t="n">
        <x:f aca="0">RANK(C114,C$2:C$128,1)+(COUNTIF(C$2:C$128,C114)-1)/2</x:f>
        <x:v>12</x:v>
      </x:c>
      <x:c r="J114" s="5" t="n">
        <x:f aca="0">RANK(D114,D$2:D$128,1)+(COUNTIF(D$2:D$128,D114)-1)/2</x:f>
        <x:v>46</x:v>
      </x:c>
      <x:c r="K114" s="5" t="n">
        <x:f aca="0">RANK(E114,E$2:E$128,1)+(COUNTIF(E$2:E$128,E114)-1)/2</x:f>
        <x:v>7</x:v>
      </x:c>
      <x:c r="L114" s="5" t="n">
        <x:f aca="0">RANK(F114,F$2:F$128,1)+(COUNTIF(F$2:F$128,F114)-1)/2</x:f>
        <x:v>69</x:v>
      </x:c>
      <x:c r="M114" s="5" t="n">
        <x:f aca="0">RANK(G114,G$2:G$128,1)+(COUNTIF(G$2:G$128,G114)-1)/2</x:f>
        <x:v>31</x:v>
      </x:c>
      <x:c r="N114" s="2" t="str">
        <x:f aca="0">IF(G114&gt;=1,"вырос",IF(G114&lt;=-1,"снизился","мало изменился"))</x:f>
        <x:v>снизился</x:v>
      </x:c>
    </x:row>
    <x:row r="115" ht="15" hidden="0">
      <x:c r="A115" s="2" t="s">
        <x:v>127</x:v>
      </x:c>
      <x:c r="B115" s="3" t="n">
        <x:v>6.81</x:v>
      </x:c>
      <x:c r="C115" s="3" t="n">
        <x:v>47.17</x:v>
      </x:c>
      <x:c r="D115" s="3" t="n">
        <x:v>5.48</x:v>
      </x:c>
      <x:c r="E115" s="3" t="n">
        <x:v>50.64</x:v>
      </x:c>
      <x:c r="F115" s="4" t="n">
        <x:f aca="0">ROUND(D115-B115,2)</x:f>
        <x:v>-1.33</x:v>
      </x:c>
      <x:c r="G115" s="4" t="n">
        <x:f aca="0">ROUND(E115-C115,2)</x:f>
        <x:v>3.47</x:v>
      </x:c>
      <x:c r="H115" s="5" t="n">
        <x:f aca="0">RANK(B115,B$2:B$128,1)+(COUNTIF(B$2:B$128,B115)-1)/2</x:f>
        <x:v>68.5</x:v>
      </x:c>
      <x:c r="I115" s="5" t="n">
        <x:f aca="0">RANK(C115,C$2:C$128,1)+(COUNTIF(C$2:C$128,C115)-1)/2</x:f>
        <x:v>15</x:v>
      </x:c>
      <x:c r="J115" s="5" t="n">
        <x:f aca="0">RANK(D115,D$2:D$128,1)+(COUNTIF(D$2:D$128,D115)-1)/2</x:f>
        <x:v>54</x:v>
      </x:c>
      <x:c r="K115" s="5" t="n">
        <x:f aca="0">RANK(E115,E$2:E$128,1)+(COUNTIF(E$2:E$128,E115)-1)/2</x:f>
        <x:v>85</x:v>
      </x:c>
      <x:c r="L115" s="5" t="n">
        <x:f aca="0">RANK(F115,F$2:F$128,1)+(COUNTIF(F$2:F$128,F115)-1)/2</x:f>
        <x:v>30</x:v>
      </x:c>
      <x:c r="M115" s="5" t="n">
        <x:f aca="0">RANK(G115,G$2:G$128,1)+(COUNTIF(G$2:G$128,G115)-1)/2</x:f>
        <x:v>127</x:v>
      </x:c>
      <x:c r="N115" s="2" t="str">
        <x:f aca="0">IF(G115&gt;=1,"вырос",IF(G115&lt;=-1,"снизился","мало изменился"))</x:f>
        <x:v>вырос</x:v>
      </x:c>
    </x:row>
    <x:row r="116" ht="15" hidden="0">
      <x:c r="A116" s="2" t="s">
        <x:v>128</x:v>
      </x:c>
      <x:c r="B116" s="3" t="n">
        <x:v>8.41</x:v>
      </x:c>
      <x:c r="C116" s="3" t="n">
        <x:v>47.03</x:v>
      </x:c>
      <x:c r="D116" s="3" t="n">
        <x:v>5.42</x:v>
      </x:c>
      <x:c r="E116" s="3" t="n">
        <x:v>46.09</x:v>
      </x:c>
      <x:c r="F116" s="4" t="n">
        <x:f aca="0">ROUND(D116-B116,2)</x:f>
        <x:v>-2.99</x:v>
      </x:c>
      <x:c r="G116" s="4" t="n">
        <x:f aca="0">ROUND(E116-C116,2)</x:f>
        <x:v>-0.94</x:v>
      </x:c>
      <x:c r="H116" s="5" t="n">
        <x:f aca="0">RANK(B116,B$2:B$128,1)+(COUNTIF(B$2:B$128,B116)-1)/2</x:f>
        <x:v>82</x:v>
      </x:c>
      <x:c r="I116" s="5" t="n">
        <x:f aca="0">RANK(C116,C$2:C$128,1)+(COUNTIF(C$2:C$128,C116)-1)/2</x:f>
        <x:v>13</x:v>
      </x:c>
      <x:c r="J116" s="5" t="n">
        <x:f aca="0">RANK(D116,D$2:D$128,1)+(COUNTIF(D$2:D$128,D116)-1)/2</x:f>
        <x:v>52</x:v>
      </x:c>
      <x:c r="K116" s="5" t="n">
        <x:f aca="0">RANK(E116,E$2:E$128,1)+(COUNTIF(E$2:E$128,E116)-1)/2</x:f>
        <x:v>10.5</x:v>
      </x:c>
      <x:c r="L116" s="5" t="n">
        <x:f aca="0">RANK(F116,F$2:F$128,1)+(COUNTIF(F$2:F$128,F116)-1)/2</x:f>
        <x:v>9</x:v>
      </x:c>
      <x:c r="M116" s="5" t="n">
        <x:f aca="0">RANK(G116,G$2:G$128,1)+(COUNTIF(G$2:G$128,G116)-1)/2</x:f>
        <x:v>36.5</x:v>
      </x:c>
      <x:c r="N116" s="2" t="str">
        <x:f aca="0">IF(G116&gt;=1,"вырос",IF(G116&lt;=-1,"снизился","мало изменился"))</x:f>
        <x:v>мало изменился</x:v>
      </x:c>
    </x:row>
    <x:row r="117" ht="15" hidden="0">
      <x:c r="A117" s="2" t="s">
        <x:v>129</x:v>
      </x:c>
      <x:c r="B117" s="3" t="n">
        <x:v>7.24</x:v>
      </x:c>
      <x:c r="C117" s="3" t="n">
        <x:v>46.51</x:v>
      </x:c>
      <x:c r="D117" s="3" t="n">
        <x:v>4.3</x:v>
      </x:c>
      <x:c r="E117" s="3" t="n">
        <x:v>47.47</x:v>
      </x:c>
      <x:c r="F117" s="4" t="n">
        <x:f aca="0">ROUND(D117-B117,2)</x:f>
        <x:v>-2.94</x:v>
      </x:c>
      <x:c r="G117" s="4" t="n">
        <x:f aca="0">ROUND(E117-C117,2)</x:f>
        <x:v>0.96</x:v>
      </x:c>
      <x:c r="H117" s="5" t="n">
        <x:f aca="0">RANK(B117,B$2:B$128,1)+(COUNTIF(B$2:B$128,B117)-1)/2</x:f>
        <x:v>75</x:v>
      </x:c>
      <x:c r="I117" s="5" t="n">
        <x:f aca="0">RANK(C117,C$2:C$128,1)+(COUNTIF(C$2:C$128,C117)-1)/2</x:f>
        <x:v>7</x:v>
      </x:c>
      <x:c r="J117" s="5" t="n">
        <x:f aca="0">RANK(D117,D$2:D$128,1)+(COUNTIF(D$2:D$128,D117)-1)/2</x:f>
        <x:v>34</x:v>
      </x:c>
      <x:c r="K117" s="5" t="n">
        <x:f aca="0">RANK(E117,E$2:E$128,1)+(COUNTIF(E$2:E$128,E117)-1)/2</x:f>
        <x:v>24</x:v>
      </x:c>
      <x:c r="L117" s="5" t="n">
        <x:f aca="0">RANK(F117,F$2:F$128,1)+(COUNTIF(F$2:F$128,F117)-1)/2</x:f>
        <x:v>10</x:v>
      </x:c>
      <x:c r="M117" s="5" t="n">
        <x:f aca="0">RANK(G117,G$2:G$128,1)+(COUNTIF(G$2:G$128,G117)-1)/2</x:f>
        <x:v>99.5</x:v>
      </x:c>
      <x:c r="N117" s="2" t="str">
        <x:f aca="0">IF(G117&gt;=1,"вырос",IF(G117&lt;=-1,"снизился","мало изменился"))</x:f>
        <x:v>мало изменился</x:v>
      </x:c>
    </x:row>
    <x:row r="118" ht="15" hidden="0">
      <x:c r="A118" s="2" t="s">
        <x:v>130</x:v>
      </x:c>
      <x:c r="B118" s="3" t="n">
        <x:v>8.56</x:v>
      </x:c>
      <x:c r="C118" s="3" t="n">
        <x:v>46.76</x:v>
      </x:c>
      <x:c r="D118" s="3" t="n">
        <x:v>6.29</x:v>
      </x:c>
      <x:c r="E118" s="3" t="n">
        <x:v>45.03</x:v>
      </x:c>
      <x:c r="F118" s="4" t="n">
        <x:f aca="0">ROUND(D118-B118,2)</x:f>
        <x:v>-2.27</x:v>
      </x:c>
      <x:c r="G118" s="4" t="n">
        <x:f aca="0">ROUND(E118-C118,2)</x:f>
        <x:v>-1.73</x:v>
      </x:c>
      <x:c r="H118" s="5" t="n">
        <x:f aca="0">RANK(B118,B$2:B$128,1)+(COUNTIF(B$2:B$128,B118)-1)/2</x:f>
        <x:v>85.5</x:v>
      </x:c>
      <x:c r="I118" s="5" t="n">
        <x:f aca="0">RANK(C118,C$2:C$128,1)+(COUNTIF(C$2:C$128,C118)-1)/2</x:f>
        <x:v>10</x:v>
      </x:c>
      <x:c r="J118" s="5" t="n">
        <x:f aca="0">RANK(D118,D$2:D$128,1)+(COUNTIF(D$2:D$128,D118)-1)/2</x:f>
        <x:v>63.5</x:v>
      </x:c>
      <x:c r="K118" s="5" t="n">
        <x:f aca="0">RANK(E118,E$2:E$128,1)+(COUNTIF(E$2:E$128,E118)-1)/2</x:f>
        <x:v>4</x:v>
      </x:c>
      <x:c r="L118" s="5" t="n">
        <x:f aca="0">RANK(F118,F$2:F$128,1)+(COUNTIF(F$2:F$128,F118)-1)/2</x:f>
        <x:v>16</x:v>
      </x:c>
      <x:c r="M118" s="5" t="n">
        <x:f aca="0">RANK(G118,G$2:G$128,1)+(COUNTIF(G$2:G$128,G118)-1)/2</x:f>
        <x:v>18</x:v>
      </x:c>
      <x:c r="N118" s="2" t="str">
        <x:f aca="0">IF(G118&gt;=1,"вырос",IF(G118&lt;=-1,"снизился","мало изменился"))</x:f>
        <x:v>снизился</x:v>
      </x:c>
    </x:row>
    <x:row r="119" ht="15" hidden="0">
      <x:c r="A119" s="2" t="s">
        <x:v>131</x:v>
      </x:c>
      <x:c r="B119" s="3" t="n">
        <x:v>5.76</x:v>
      </x:c>
      <x:c r="C119" s="3" t="n">
        <x:v>46.61</x:v>
      </x:c>
      <x:c r="D119" s="3" t="n">
        <x:v>4.31</x:v>
      </x:c>
      <x:c r="E119" s="3" t="n">
        <x:v>44.64</x:v>
      </x:c>
      <x:c r="F119" s="4" t="n">
        <x:f aca="0">ROUND(D119-B119,2)</x:f>
        <x:v>-1.45</x:v>
      </x:c>
      <x:c r="G119" s="4" t="n">
        <x:f aca="0">ROUND(E119-C119,2)</x:f>
        <x:v>-1.97</x:v>
      </x:c>
      <x:c r="H119" s="5" t="n">
        <x:f aca="0">RANK(B119,B$2:B$128,1)+(COUNTIF(B$2:B$128,B119)-1)/2</x:f>
        <x:v>57</x:v>
      </x:c>
      <x:c r="I119" s="5" t="n">
        <x:f aca="0">RANK(C119,C$2:C$128,1)+(COUNTIF(C$2:C$128,C119)-1)/2</x:f>
        <x:v>8</x:v>
      </x:c>
      <x:c r="J119" s="5" t="n">
        <x:f aca="0">RANK(D119,D$2:D$128,1)+(COUNTIF(D$2:D$128,D119)-1)/2</x:f>
        <x:v>35</x:v>
      </x:c>
      <x:c r="K119" s="5" t="n">
        <x:f aca="0">RANK(E119,E$2:E$128,1)+(COUNTIF(E$2:E$128,E119)-1)/2</x:f>
        <x:v>3</x:v>
      </x:c>
      <x:c r="L119" s="5" t="n">
        <x:f aca="0">RANK(F119,F$2:F$128,1)+(COUNTIF(F$2:F$128,F119)-1)/2</x:f>
        <x:v>27</x:v>
      </x:c>
      <x:c r="M119" s="5" t="n">
        <x:f aca="0">RANK(G119,G$2:G$128,1)+(COUNTIF(G$2:G$128,G119)-1)/2</x:f>
        <x:v>15</x:v>
      </x:c>
      <x:c r="N119" s="2" t="str">
        <x:f aca="0">IF(G119&gt;=1,"вырос",IF(G119&lt;=-1,"снизился","мало изменился"))</x:f>
        <x:v>снизился</x:v>
      </x:c>
    </x:row>
    <x:row r="120" ht="15" hidden="0">
      <x:c r="A120" s="2" t="s">
        <x:v>132</x:v>
      </x:c>
      <x:c r="B120" s="3" t="n">
        <x:v>5.31</x:v>
      </x:c>
      <x:c r="C120" s="3" t="n">
        <x:v>46.62</x:v>
      </x:c>
      <x:c r="D120" s="3" t="n">
        <x:v>4.16</x:v>
      </x:c>
      <x:c r="E120" s="3" t="n">
        <x:v>46.09</x:v>
      </x:c>
      <x:c r="F120" s="4" t="n">
        <x:f aca="0">ROUND(D120-B120,2)</x:f>
        <x:v>-1.15</x:v>
      </x:c>
      <x:c r="G120" s="4" t="n">
        <x:f aca="0">ROUND(E120-C120,2)</x:f>
        <x:v>-0.53</x:v>
      </x:c>
      <x:c r="H120" s="5" t="n">
        <x:f aca="0">RANK(B120,B$2:B$128,1)+(COUNTIF(B$2:B$128,B120)-1)/2</x:f>
        <x:v>49</x:v>
      </x:c>
      <x:c r="I120" s="5" t="n">
        <x:f aca="0">RANK(C120,C$2:C$128,1)+(COUNTIF(C$2:C$128,C120)-1)/2</x:f>
        <x:v>9</x:v>
      </x:c>
      <x:c r="J120" s="5" t="n">
        <x:f aca="0">RANK(D120,D$2:D$128,1)+(COUNTIF(D$2:D$128,D120)-1)/2</x:f>
        <x:v>30</x:v>
      </x:c>
      <x:c r="K120" s="5" t="n">
        <x:f aca="0">RANK(E120,E$2:E$128,1)+(COUNTIF(E$2:E$128,E120)-1)/2</x:f>
        <x:v>10.5</x:v>
      </x:c>
      <x:c r="L120" s="5" t="n">
        <x:f aca="0">RANK(F120,F$2:F$128,1)+(COUNTIF(F$2:F$128,F120)-1)/2</x:f>
        <x:v>34</x:v>
      </x:c>
      <x:c r="M120" s="5" t="n">
        <x:f aca="0">RANK(G120,G$2:G$128,1)+(COUNTIF(G$2:G$128,G120)-1)/2</x:f>
        <x:v>48</x:v>
      </x:c>
      <x:c r="N120" s="2" t="str">
        <x:f aca="0">IF(G120&gt;=1,"вырос",IF(G120&lt;=-1,"снизился","мало изменился"))</x:f>
        <x:v>мало изменился</x:v>
      </x:c>
    </x:row>
    <x:row r="121" ht="15" hidden="0">
      <x:c r="A121" s="2" t="s">
        <x:v>133</x:v>
      </x:c>
      <x:c r="B121" s="3" t="n">
        <x:v>4.81</x:v>
      </x:c>
      <x:c r="C121" s="3" t="n">
        <x:v>46.81</x:v>
      </x:c>
      <x:c r="D121" s="3" t="n">
        <x:v>2.92</x:v>
      </x:c>
      <x:c r="E121" s="3" t="n">
        <x:v>44.56</x:v>
      </x:c>
      <x:c r="F121" s="4" t="n">
        <x:f aca="0">ROUND(D121-B121,2)</x:f>
        <x:v>-1.89</x:v>
      </x:c>
      <x:c r="G121" s="4" t="n">
        <x:f aca="0">ROUND(E121-C121,2)</x:f>
        <x:v>-2.25</x:v>
      </x:c>
      <x:c r="H121" s="5" t="n">
        <x:f aca="0">RANK(B121,B$2:B$128,1)+(COUNTIF(B$2:B$128,B121)-1)/2</x:f>
        <x:v>36</x:v>
      </x:c>
      <x:c r="I121" s="5" t="n">
        <x:f aca="0">RANK(C121,C$2:C$128,1)+(COUNTIF(C$2:C$128,C121)-1)/2</x:f>
        <x:v>11</x:v>
      </x:c>
      <x:c r="J121" s="5" t="n">
        <x:f aca="0">RANK(D121,D$2:D$128,1)+(COUNTIF(D$2:D$128,D121)-1)/2</x:f>
        <x:v>16</x:v>
      </x:c>
      <x:c r="K121" s="5" t="n">
        <x:f aca="0">RANK(E121,E$2:E$128,1)+(COUNTIF(E$2:E$128,E121)-1)/2</x:f>
        <x:v>2</x:v>
      </x:c>
      <x:c r="L121" s="5" t="n">
        <x:f aca="0">RANK(F121,F$2:F$128,1)+(COUNTIF(F$2:F$128,F121)-1)/2</x:f>
        <x:v>20</x:v>
      </x:c>
      <x:c r="M121" s="5" t="n">
        <x:f aca="0">RANK(G121,G$2:G$128,1)+(COUNTIF(G$2:G$128,G121)-1)/2</x:f>
        <x:v>12</x:v>
      </x:c>
      <x:c r="N121" s="2" t="str">
        <x:f aca="0">IF(G121&gt;=1,"вырос",IF(G121&lt;=-1,"снизился","мало изменился"))</x:f>
        <x:v>снизился</x:v>
      </x:c>
    </x:row>
    <x:row r="122" ht="15" hidden="0">
      <x:c r="A122" s="2" t="s">
        <x:v>134</x:v>
      </x:c>
      <x:c r="B122" s="3" t="n">
        <x:v>1.02</x:v>
      </x:c>
      <x:c r="C122" s="3" t="n">
        <x:v>47.1</x:v>
      </x:c>
      <x:c r="D122" s="3" t="n">
        <x:v>0.6</x:v>
      </x:c>
      <x:c r="E122" s="3" t="n">
        <x:v>45.94</x:v>
      </x:c>
      <x:c r="F122" s="4" t="n">
        <x:f aca="0">ROUND(D122-B122,2)</x:f>
        <x:v>-0.42</x:v>
      </x:c>
      <x:c r="G122" s="4" t="n">
        <x:f aca="0">ROUND(E122-C122,2)</x:f>
        <x:v>-1.16</x:v>
      </x:c>
      <x:c r="H122" s="5" t="n">
        <x:f aca="0">RANK(B122,B$2:B$128,1)+(COUNTIF(B$2:B$128,B122)-1)/2</x:f>
        <x:v>1</x:v>
      </x:c>
      <x:c r="I122" s="5" t="n">
        <x:f aca="0">RANK(C122,C$2:C$128,1)+(COUNTIF(C$2:C$128,C122)-1)/2</x:f>
        <x:v>14</x:v>
      </x:c>
      <x:c r="J122" s="5" t="n">
        <x:f aca="0">RANK(D122,D$2:D$128,1)+(COUNTIF(D$2:D$128,D122)-1)/2</x:f>
        <x:v>1</x:v>
      </x:c>
      <x:c r="K122" s="5" t="n">
        <x:f aca="0">RANK(E122,E$2:E$128,1)+(COUNTIF(E$2:E$128,E122)-1)/2</x:f>
        <x:v>9</x:v>
      </x:c>
      <x:c r="L122" s="5" t="n">
        <x:f aca="0">RANK(F122,F$2:F$128,1)+(COUNTIF(F$2:F$128,F122)-1)/2</x:f>
        <x:v>53</x:v>
      </x:c>
      <x:c r="M122" s="5" t="n">
        <x:f aca="0">RANK(G122,G$2:G$128,1)+(COUNTIF(G$2:G$128,G122)-1)/2</x:f>
        <x:v>32</x:v>
      </x:c>
      <x:c r="N122" s="2" t="str">
        <x:f aca="0">IF(G122&gt;=1,"вырос",IF(G122&lt;=-1,"снизился","мало изменился"))</x:f>
        <x:v>снизился</x:v>
      </x:c>
    </x:row>
    <x:row r="123" ht="15" hidden="0">
      <x:c r="A123" s="2" t="s">
        <x:v>135</x:v>
      </x:c>
      <x:c r="B123" s="3" t="n">
        <x:v>2.43</x:v>
      </x:c>
      <x:c r="C123" s="3" t="n">
        <x:v>45.81</x:v>
      </x:c>
      <x:c r="D123" s="3" t="n">
        <x:v>1.91</x:v>
      </x:c>
      <x:c r="E123" s="3" t="n">
        <x:v>46.3</x:v>
      </x:c>
      <x:c r="F123" s="4" t="n">
        <x:f aca="0">ROUND(D123-B123,2)</x:f>
        <x:v>-0.52</x:v>
      </x:c>
      <x:c r="G123" s="4" t="n">
        <x:f aca="0">ROUND(E123-C123,2)</x:f>
        <x:v>0.49</x:v>
      </x:c>
      <x:c r="H123" s="5" t="n">
        <x:f aca="0">RANK(B123,B$2:B$128,1)+(COUNTIF(B$2:B$128,B123)-1)/2</x:f>
        <x:v>12</x:v>
      </x:c>
      <x:c r="I123" s="5" t="n">
        <x:f aca="0">RANK(C123,C$2:C$128,1)+(COUNTIF(C$2:C$128,C123)-1)/2</x:f>
        <x:v>6</x:v>
      </x:c>
      <x:c r="J123" s="5" t="n">
        <x:f aca="0">RANK(D123,D$2:D$128,1)+(COUNTIF(D$2:D$128,D123)-1)/2</x:f>
        <x:v>6</x:v>
      </x:c>
      <x:c r="K123" s="5" t="n">
        <x:f aca="0">RANK(E123,E$2:E$128,1)+(COUNTIF(E$2:E$128,E123)-1)/2</x:f>
        <x:v>12</x:v>
      </x:c>
      <x:c r="L123" s="5" t="n">
        <x:f aca="0">RANK(F123,F$2:F$128,1)+(COUNTIF(F$2:F$128,F123)-1)/2</x:f>
        <x:v>50</x:v>
      </x:c>
      <x:c r="M123" s="5" t="n">
        <x:f aca="0">RANK(G123,G$2:G$128,1)+(COUNTIF(G$2:G$128,G123)-1)/2</x:f>
        <x:v>86.5</x:v>
      </x:c>
      <x:c r="N123" s="2" t="str">
        <x:f aca="0">IF(G123&gt;=1,"вырос",IF(G123&lt;=-1,"снизился","мало изменился"))</x:f>
        <x:v>мало изменился</x:v>
      </x:c>
    </x:row>
    <x:row r="124" ht="15" hidden="0">
      <x:c r="A124" s="2" t="s">
        <x:v>136</x:v>
      </x:c>
      <x:c r="B124" s="3" t="n">
        <x:v>1.52</x:v>
      </x:c>
      <x:c r="C124" s="3" t="n">
        <x:v>45.39</x:v>
      </x:c>
      <x:c r="D124" s="3" t="n">
        <x:v>4.82</x:v>
      </x:c>
      <x:c r="E124" s="3" t="n">
        <x:v>47.3</x:v>
      </x:c>
      <x:c r="F124" s="4" t="n">
        <x:f aca="0">ROUND(D124-B124,2)</x:f>
        <x:v>3.3</x:v>
      </x:c>
      <x:c r="G124" s="4" t="n">
        <x:f aca="0">ROUND(E124-C124,2)</x:f>
        <x:v>1.91</x:v>
      </x:c>
      <x:c r="H124" s="5" t="n">
        <x:f aca="0">RANK(B124,B$2:B$128,1)+(COUNTIF(B$2:B$128,B124)-1)/2</x:f>
        <x:v>3</x:v>
      </x:c>
      <x:c r="I124" s="5" t="n">
        <x:f aca="0">RANK(C124,C$2:C$128,1)+(COUNTIF(C$2:C$128,C124)-1)/2</x:f>
        <x:v>5</x:v>
      </x:c>
      <x:c r="J124" s="5" t="n">
        <x:f aca="0">RANK(D124,D$2:D$128,1)+(COUNTIF(D$2:D$128,D124)-1)/2</x:f>
        <x:v>41</x:v>
      </x:c>
      <x:c r="K124" s="5" t="n">
        <x:f aca="0">RANK(E124,E$2:E$128,1)+(COUNTIF(E$2:E$128,E124)-1)/2</x:f>
        <x:v>20</x:v>
      </x:c>
      <x:c r="L124" s="5" t="n">
        <x:f aca="0">RANK(F124,F$2:F$128,1)+(COUNTIF(F$2:F$128,F124)-1)/2</x:f>
        <x:v>119</x:v>
      </x:c>
      <x:c r="M124" s="5" t="n">
        <x:f aca="0">RANK(G124,G$2:G$128,1)+(COUNTIF(G$2:G$128,G124)-1)/2</x:f>
        <x:v>116</x:v>
      </x:c>
      <x:c r="N124" s="2" t="str">
        <x:f aca="0">IF(G124&gt;=1,"вырос",IF(G124&lt;=-1,"снизился","мало изменился"))</x:f>
        <x:v>вырос</x:v>
      </x:c>
    </x:row>
    <x:row r="125" ht="15" hidden="0">
      <x:c r="A125" s="2" t="s">
        <x:v>137</x:v>
      </x:c>
      <x:c r="B125" s="3" t="n">
        <x:v>2.79</x:v>
      </x:c>
      <x:c r="C125" s="3" t="n">
        <x:v>45.2</x:v>
      </x:c>
      <x:c r="D125" s="3" t="n">
        <x:v>6.15</x:v>
      </x:c>
      <x:c r="E125" s="3" t="n">
        <x:v>47.14</x:v>
      </x:c>
      <x:c r="F125" s="4" t="n">
        <x:f aca="0">ROUND(D125-B125,2)</x:f>
        <x:v>3.36</x:v>
      </x:c>
      <x:c r="G125" s="4" t="n">
        <x:f aca="0">ROUND(E125-C125,2)</x:f>
        <x:v>1.94</x:v>
      </x:c>
      <x:c r="H125" s="5" t="n">
        <x:f aca="0">RANK(B125,B$2:B$128,1)+(COUNTIF(B$2:B$128,B125)-1)/2</x:f>
        <x:v>14</x:v>
      </x:c>
      <x:c r="I125" s="5" t="n">
        <x:f aca="0">RANK(C125,C$2:C$128,1)+(COUNTIF(C$2:C$128,C125)-1)/2</x:f>
        <x:v>4</x:v>
      </x:c>
      <x:c r="J125" s="5" t="n">
        <x:f aca="0">RANK(D125,D$2:D$128,1)+(COUNTIF(D$2:D$128,D125)-1)/2</x:f>
        <x:v>61.5</x:v>
      </x:c>
      <x:c r="K125" s="5" t="n">
        <x:f aca="0">RANK(E125,E$2:E$128,1)+(COUNTIF(E$2:E$128,E125)-1)/2</x:f>
        <x:v>19</x:v>
      </x:c>
      <x:c r="L125" s="5" t="n">
        <x:f aca="0">RANK(F125,F$2:F$128,1)+(COUNTIF(F$2:F$128,F125)-1)/2</x:f>
        <x:v>120.5</x:v>
      </x:c>
      <x:c r="M125" s="5" t="n">
        <x:f aca="0">RANK(G125,G$2:G$128,1)+(COUNTIF(G$2:G$128,G125)-1)/2</x:f>
        <x:v>117</x:v>
      </x:c>
      <x:c r="N125" s="2" t="str">
        <x:f aca="0">IF(G125&gt;=1,"вырос",IF(G125&lt;=-1,"снизился","мало изменился"))</x:f>
        <x:v>вырос</x:v>
      </x:c>
    </x:row>
    <x:row r="126" ht="15" hidden="0">
      <x:c r="A126" s="2" t="s">
        <x:v>138</x:v>
      </x:c>
      <x:c r="B126" s="3" t="n">
        <x:v>3</x:v>
      </x:c>
      <x:c r="C126" s="3" t="n">
        <x:v>44.97</x:v>
      </x:c>
      <x:c r="D126" s="3" t="n">
        <x:v>4.45</x:v>
      </x:c>
      <x:c r="E126" s="3" t="n">
        <x:v>47.05</x:v>
      </x:c>
      <x:c r="F126" s="4" t="n">
        <x:f aca="0">ROUND(D126-B126,2)</x:f>
        <x:v>1.45</x:v>
      </x:c>
      <x:c r="G126" s="4" t="n">
        <x:f aca="0">ROUND(E126-C126,2)</x:f>
        <x:v>2.08</x:v>
      </x:c>
      <x:c r="H126" s="5" t="n">
        <x:f aca="0">RANK(B126,B$2:B$128,1)+(COUNTIF(B$2:B$128,B126)-1)/2</x:f>
        <x:v>15</x:v>
      </x:c>
      <x:c r="I126" s="5" t="n">
        <x:f aca="0">RANK(C126,C$2:C$128,1)+(COUNTIF(C$2:C$128,C126)-1)/2</x:f>
        <x:v>3</x:v>
      </x:c>
      <x:c r="J126" s="5" t="n">
        <x:f aca="0">RANK(D126,D$2:D$128,1)+(COUNTIF(D$2:D$128,D126)-1)/2</x:f>
        <x:v>38</x:v>
      </x:c>
      <x:c r="K126" s="5" t="n">
        <x:f aca="0">RANK(E126,E$2:E$128,1)+(COUNTIF(E$2:E$128,E126)-1)/2</x:f>
        <x:v>18</x:v>
      </x:c>
      <x:c r="L126" s="5" t="n">
        <x:f aca="0">RANK(F126,F$2:F$128,1)+(COUNTIF(F$2:F$128,F126)-1)/2</x:f>
        <x:v>97.5</x:v>
      </x:c>
      <x:c r="M126" s="5" t="n">
        <x:f aca="0">RANK(G126,G$2:G$128,1)+(COUNTIF(G$2:G$128,G126)-1)/2</x:f>
        <x:v>118</x:v>
      </x:c>
      <x:c r="N126" s="2" t="str">
        <x:f aca="0">IF(G126&gt;=1,"вырос",IF(G126&lt;=-1,"снизился","мало изменился"))</x:f>
        <x:v>вырос</x:v>
      </x:c>
    </x:row>
    <x:row r="127" ht="15" hidden="0">
      <x:c r="A127" s="2" t="s">
        <x:v>139</x:v>
      </x:c>
      <x:c r="B127" s="3" t="n">
        <x:v>9.48</x:v>
      </x:c>
      <x:c r="C127" s="3" t="n">
        <x:v>43.8</x:v>
      </x:c>
      <x:c r="D127" s="3" t="n">
        <x:v>9.02</x:v>
      </x:c>
      <x:c r="E127" s="3" t="n">
        <x:v>43.02</x:v>
      </x:c>
      <x:c r="F127" s="4" t="n">
        <x:f aca="0">ROUND(D127-B127,2)</x:f>
        <x:v>-0.46</x:v>
      </x:c>
      <x:c r="G127" s="4" t="n">
        <x:f aca="0">ROUND(E127-C127,2)</x:f>
        <x:v>-0.78</x:v>
      </x:c>
      <x:c r="H127" s="5" t="n">
        <x:f aca="0">RANK(B127,B$2:B$128,1)+(COUNTIF(B$2:B$128,B127)-1)/2</x:f>
        <x:v>90</x:v>
      </x:c>
      <x:c r="I127" s="5" t="n">
        <x:f aca="0">RANK(C127,C$2:C$128,1)+(COUNTIF(C$2:C$128,C127)-1)/2</x:f>
        <x:v>1</x:v>
      </x:c>
      <x:c r="J127" s="5" t="n">
        <x:f aca="0">RANK(D127,D$2:D$128,1)+(COUNTIF(D$2:D$128,D127)-1)/2</x:f>
        <x:v>85</x:v>
      </x:c>
      <x:c r="K127" s="5" t="n">
        <x:f aca="0">RANK(E127,E$2:E$128,1)+(COUNTIF(E$2:E$128,E127)-1)/2</x:f>
        <x:v>1</x:v>
      </x:c>
      <x:c r="L127" s="5" t="n">
        <x:f aca="0">RANK(F127,F$2:F$128,1)+(COUNTIF(F$2:F$128,F127)-1)/2</x:f>
        <x:v>51.5</x:v>
      </x:c>
      <x:c r="M127" s="5" t="n">
        <x:f aca="0">RANK(G127,G$2:G$128,1)+(COUNTIF(G$2:G$128,G127)-1)/2</x:f>
        <x:v>42</x:v>
      </x:c>
      <x:c r="N127" s="2" t="str">
        <x:f aca="0">IF(G127&gt;=1,"вырос",IF(G127&lt;=-1,"снизился","мало изменился"))</x:f>
        <x:v>мало изменился</x:v>
      </x:c>
    </x:row>
    <x:row r="128" ht="15" hidden="0">
      <x:c r="A128" s="2" t="s">
        <x:v>140</x:v>
      </x:c>
      <x:c r="B128" s="3" t="n">
        <x:v>5.14</x:v>
      </x:c>
      <x:c r="C128" s="3" t="n">
        <x:v>44.15</x:v>
      </x:c>
      <x:c r="D128" s="3" t="n">
        <x:v>6.15</x:v>
      </x:c>
      <x:c r="E128" s="3" t="n">
        <x:v>45.39</x:v>
      </x:c>
      <x:c r="F128" s="4" t="n">
        <x:f aca="0">ROUND(D128-B128,2)</x:f>
        <x:v>1.01</x:v>
      </x:c>
      <x:c r="G128" s="4" t="n">
        <x:f aca="0">ROUND(E128-C128,2)</x:f>
        <x:v>1.24</x:v>
      </x:c>
      <x:c r="H128" s="5" t="n">
        <x:f aca="0">RANK(B128,B$2:B$128,1)+(COUNTIF(B$2:B$128,B128)-1)/2</x:f>
        <x:v>44</x:v>
      </x:c>
      <x:c r="I128" s="5" t="n">
        <x:f aca="0">RANK(C128,C$2:C$128,1)+(COUNTIF(C$2:C$128,C128)-1)/2</x:f>
        <x:v>2</x:v>
      </x:c>
      <x:c r="J128" s="5" t="n">
        <x:f aca="0">RANK(D128,D$2:D$128,1)+(COUNTIF(D$2:D$128,D128)-1)/2</x:f>
        <x:v>61.5</x:v>
      </x:c>
      <x:c r="K128" s="5" t="n">
        <x:f aca="0">RANK(E128,E$2:E$128,1)+(COUNTIF(E$2:E$128,E128)-1)/2</x:f>
        <x:v>6</x:v>
      </x:c>
      <x:c r="L128" s="5" t="n">
        <x:f aca="0">RANK(F128,F$2:F$128,1)+(COUNTIF(F$2:F$128,F128)-1)/2</x:f>
        <x:v>89</x:v>
      </x:c>
      <x:c r="M128" s="5" t="n">
        <x:f aca="0">RANK(G128,G$2:G$128,1)+(COUNTIF(G$2:G$128,G128)-1)/2</x:f>
        <x:v>105</x:v>
      </x:c>
      <x:c r="N128" s="2" t="str">
        <x:f aca="0">IF(G128&gt;=1,"вырос",IF(G128&lt;=-1,"снизился","мало изменился"))</x:f>
        <x:v>вырос</x:v>
      </x:c>
    </x:row>
  </x:sheetData>
  <x:pageMargins left="0.7" right="0.7" top="0.75" bottom="0.75" header="0.3" footer="0.3"/>
</x:worksheet>
</file>

<file path=xl/worksheets/sheet2.xml><?xml version="1.0" encoding="utf-8"?>
<ns0:worksheet xmlns:ns0="http://schemas.openxmlformats.org/spreadsheetml/2006/main">
  <ns0:sheetViews>
    <ns0:sheetView showGridLines="1" workbookViewId="0"/>
  </ns0:sheetViews>
  <ns0:sheetFormatPr defaultColWidth="8.6796875" defaultRowHeight="15"/>
  <ns0:cols>
    <ns0:col min="1" max="1" width="78" hidden="0" customWidth="1"/>
    <ns0:col min="2" max="2" width="22" hidden="0" customWidth="1"/>
  </ns0:cols>
  <ns0:sheetData>
    <ns0:row r="1" ht="15" hidden="0">
      <ns0:c r="A1" s="6" t="s">
        <ns0:v>141</ns0:v>
      </ns0:c>
    </ns0:row>
    <ns0:row r="4" ht="15" hidden="0">
      <ns0:c r="A4" s="7" t="s">
        <ns0:v>142</ns0:v>
      </ns0:c>
      <ns0:c r="B4" s="8"/>
    </ns0:row>
    <ns0:row r="5" ht="15" hidden="0">
      <ns0:c r="A5" s="9" t="s">
        <ns0:v>143</ns0:v>
      </ns0:c>
      <ns0:c r="B5" s="10" t="n">
        <ns0:f aca="0">COUNT(Данные!$B$2:$B$128)</ns0:f>
        <ns0:v>127</ns0:v>
      </ns0:c>
    </ns0:row>
    <ns0:row r="6" ht="15" hidden="0">
      <ns0:c r="A6" s="9" t="s">
        <ns0:v>144</ns0:v>
      </ns0:c>
      <ns0:c r="B6" s="11" t="n">
        <ns0:f aca="0">AVERAGE(Данные!$B$2:$B$128)</ns0:f>
        <ns0:v>7.874173228346454</ns0:v>
      </ns0:c>
    </ns0:row>
    <ns0:row r="7" ht="15" hidden="0">
      <ns0:c r="A7" s="9" t="s">
        <ns0:v>145</ns0:v>
      </ns0:c>
      <ns0:c r="B7" s="11" t="n">
        <ns0:f aca="0">AVERAGE(Данные!$D$2:$D$128)</ns0:f>
        <ns0:v>7.874173228346454</ns0:v>
      </ns0:c>
    </ns0:row>
    <ns0:row r="8" ht="15" hidden="0">
      <ns0:c r="A8" s="9" t="s">
        <ns0:v>146</ns0:v>
      </ns0:c>
      <ns0:c r="B8" s="11" t="n">
        <ns0:f aca="0">AVERAGE(Данные!$C$2:$C$128)</ns0:f>
        <ns0:v>49.74070866141736</ns0:v>
      </ns0:c>
    </ns0:row>
    <ns0:row r="9" ht="15" hidden="0">
      <ns0:c r="A9" s="9" t="s">
        <ns0:v>147</ns0:v>
      </ns0:c>
      <ns0:c r="B9" s="11" t="n">
        <ns0:f aca="0">AVERAGE(Данные!$E$2:$E$128)</ns0:f>
        <ns0:v>49.590157480315</ns0:v>
      </ns0:c>
    </ns0:row>
    <ns0:row r="11" ht="15" hidden="0">
      <ns0:c r="A11" s="7" t="s">
        <ns0:v>148</ns0:v>
      </ns0:c>
      <ns0:c r="B11" s="8"/>
    </ns0:row>
    <ns0:row r="12" ht="15" hidden="0">
      <ns0:c r="A12" s="9" t="s">
        <ns0:v>149</ns0:v>
      </ns0:c>
      <ns0:c r="B12" s="12" t="n">
        <ns0:f aca="0">CORREL(Данные!$H$2:$H$128,Данные!$I$2:$I$128)</ns0:f>
        <ns0:v>0.1979986290451014</ns0:v>
      </ns0:c>
    </ns0:row>
    <ns0:row r="13" ht="15" hidden="0">
      <ns0:c r="A13" s="9" t="s">
        <ns0:v>150</ns0:v>
      </ns0:c>
      <ns0:c r="B13" s="17" t="n">
        <ns0:f aca="0">TDIST(ABS(B12*SQRT(($B$5-2)/(1-B12^2))),$B$5-2,2)</ns0:f>
        <ns0:v>0.025654046897343175</ns0:v>
      </ns0:c>
    </ns0:row>
    <ns0:row r="14" ht="15" hidden="0">
      <ns0:c r="A14" s="9" t="s">
        <ns0:v>151</ns0:v>
      </ns0:c>
      <ns0:c r="B14" s="12" t="n">
        <ns0:f aca="0">B12^2</ns0:f>
        <ns0:v>0.039203457103739674</ns0:v>
      </ns0:c>
    </ns0:row>
    <ns0:row r="15" ht="15" hidden="0">
      <ns0:c r="A15" s="9" t="s">
        <ns0:v>152</ns0:v>
      </ns0:c>
      <ns0:c r="B15" s="12" t="n">
        <ns0:f aca="0">CORREL(Данные!$J$2:$J$128,Данные!$K$2:$K$128)</ns0:f>
        <ns0:v>0.31376716282706746</ns0:v>
      </ns0:c>
    </ns0:row>
    <ns0:row r="16" ht="15" hidden="0">
      <ns0:c r="A16" s="9" t="s">
        <ns0:v>153</ns0:v>
      </ns0:c>
      <ns0:c r="B16" s="17" t="n">
        <ns0:f aca="0">TDIST(ABS(B15*SQRT(($B$5-2)/(1-B15^2))),$B$5-2,2)</ns0:f>
        <ns0:v>0.0003279366657374808</ns0:v>
      </ns0:c>
    </ns0:row>
    <ns0:row r="17" ht="15" hidden="0">
      <ns0:c r="A17" s="9" t="s">
        <ns0:v>154</ns0:v>
      </ns0:c>
      <ns0:c r="B17" s="12" t="n">
        <ns0:f aca="0">B15^2</ns0:f>
        <ns0:v>0.09844983246854747</ns0:v>
      </ns0:c>
    </ns0:row>
    <ns0:row r="18" ht="15" hidden="0">
      <ns0:c r="A18" s="9" t="s">
        <ns0:v>155</ns0:v>
      </ns0:c>
      <ns0:c r="B18" s="12" t="n">
        <ns0:f aca="0">CORREL(Данные!$L$2:$L$128,Данные!$M$2:$M$128)</ns0:f>
        <ns0:v>0.5919244086947786</ns0:v>
      </ns0:c>
    </ns0:row>
    <ns0:row r="19" ht="15" hidden="0">
      <ns0:c r="A19" s="9" t="s">
        <ns0:v>156</ns0:v>
      </ns0:c>
      <ns0:c r="B19" s="17" t="n">
        <ns0:f aca="0">TDIST(ABS(B18*SQRT(($B$5-2)/(1-B18^2))),$B$5-2,2)</ns0:f>
        <ns0:v>2.3209397910381603e-13</ns0:v>
      </ns0:c>
    </ns0:row>
    <ns0:row r="20" ht="15" hidden="0">
      <ns0:c r="A20" s="9" t="s">
        <ns0:v>157</ns0:v>
      </ns0:c>
      <ns0:c r="B20" s="12" t="n">
        <ns0:f aca="0">B18^2</ns0:f>
        <ns0:v>0.3503745056086633</ns0:v>
      </ns0:c>
    </ns0:row>
    <ns0:row r="21" ht="15" hidden="0">
      <ns0:c r="A21" s="9" t="s">
        <ns0:v>158</ns0:v>
      </ns0:c>
      <ns0:c r="B21" s="12" t="n">
        <ns0:f aca="0">CORREL(Данные!$J$2:$J$128,Данные!$I$2:$I$128)</ns0:f>
        <ns0:v>0.20122039638176537</ns0:v>
      </ns0:c>
    </ns0:row>
    <ns0:row r="22">
      <ns0:c r="A22" t="str">
        <ns0:v>Пикрейт 7.41 и винрейт 7.40: p (t-приближение)</ns0:v>
      </ns0:c>
      <ns0:c r="B22" s="18" t="n">
        <ns0:f>TDIST(ABS(B21*SQRT(($B$5-2)/(1-B21^2))),$B$5-2,2)</ns0:f>
        <ns0:v>0.023300410903699064</ns0:v>
      </ns0:c>
    </ns0:row>
    <ns0:row r="23" ht="15" hidden="0">
      <ns0:c r="A23" s="7" t="s">
        <ns0:v>159</ns0:v>
      </ns0:c>
      <ns0:c r="B23" s="8"/>
    </ns0:row>
    <ns0:row r="24" ht="15" hidden="0">
      <ns0:c r="A24" s="9" t="s">
        <ns0:v>160</ns0:v>
      </ns0:c>
      <ns0:c r="B24" s="10" t="n">
        <ns0:f aca="0">SUMPRODUCT((Данные!$F$2:$F$128&gt;0)*(Данные!$G$2:$G$128&gt;0))+SUMPRODUCT((Данные!$F$2:$F$128&lt;0)*(Данные!$G$2:$G$128&lt;0))</ns0:f>
        <ns0:v>88</ns0:v>
      </ns0:c>
    </ns0:row>
    <ns0:row r="25" ht="15" hidden="0">
      <ns0:c r="A25" s="9" t="s">
        <ns0:v>161</ns0:v>
      </ns0:c>
      <ns0:c r="B25" s="10" t="n">
        <ns0:f aca="0">SUMPRODUCT((Данные!$F$2:$F$128&gt;0)*(Данные!$G$2:$G$128&lt;0))+SUMPRODUCT((Данные!$F$2:$F$128&lt;0)*(Данные!$G$2:$G$128&gt;0))</ns0:f>
        <ns0:v>38</ns0:v>
      </ns0:c>
    </ns0:row>
    <ns0:row r="26" ht="15" hidden="0">
      <ns0:c r="A26" s="9" t="s">
        <ns0:v>162</ns0:v>
      </ns0:c>
      <ns0:c r="B26" s="14" t="n">
        <ns0:f aca="0">B25/B5</ns0:f>
        <ns0:v>0.2992125984251969</ns0:v>
      </ns0:c>
    </ns0:row>
    <ns0:row r="27" ht="15" hidden="0">
      <ns0:c r="A27" s="9" t="s">
        <ns0:v>163</ns0:v>
      </ns0:c>
      <ns0:c r="B27" s="11" t="n">
        <ns0:f aca="0">(SUMIF(Данные!$F$2:$F$128,"&gt;0",Данные!$F$2:$F$128)-SUMIF(Данные!$F$2:$F$128,"&lt;0",Данные!$F$2:$F$128))/B5</ns0:f>
        <ns0:v>1.6809448818897639</ns0:v>
      </ns0:c>
    </ns0:row>
    <ns0:row r="28" ht="15" hidden="0">
      <ns0:c r="A28" s="9" t="s">
        <ns0:v>164</ns0:v>
      </ns0:c>
      <ns0:c r="B28" s="10" t="n">
        <ns0:f aca="0">COUNTIF(Данные!$F$2:$F$128,"&gt;=2")+COUNTIF(Данные!$F$2:$F$128,"&lt;=-2")</ns0:f>
        <ns0:v>40</ns0:v>
      </ns0:c>
    </ns0:row>
    <ns0:row r="30" ht="15" hidden="0">
      <ns0:c r="A30" s="7" t="str">
        <ns0:v>Изменение пикрейта в группах по винрейту (порог 1 п. п.)</ns0:v>
      </ns0:c>
      <ns0:c r="B30" s="8"/>
    </ns0:row>
    <ns0:row r="31" ht="15" hidden="0">
      <ns0:c r="A31" s="9" t="s">
        <ns0:v>165</ns0:v>
      </ns0:c>
      <ns0:c r="B31" s="10" t="n">
        <ns0:f aca="0">COUNTIF(Данные!$N$2:$N$128,"вырос")</ns0:f>
        <ns0:v>26</ns0:v>
      </ns0:c>
    </ns0:row>
    <ns0:row r="32" ht="15" hidden="0">
      <ns0:c r="A32" s="9" t="s">
        <ns0:v>166</ns0:v>
      </ns0:c>
      <ns0:c r="B32" s="10" t="n">
        <ns0:f aca="0">COUNTIF(Данные!$N$2:$N$128,"снизился")</ns0:f>
        <ns0:v>35</ns0:v>
      </ns0:c>
    </ns0:row>
    <ns0:row r="33" ht="15" hidden="0">
      <ns0:c r="A33" s="9" t="s">
        <ns0:v>167</ns0:v>
      </ns0:c>
      <ns0:c r="B33" s="11" t="n">
        <ns0:f aca="0">AVERAGEIF(Данные!$N$2:$N$128,"вырос",Данные!$F$2:$F$128)</ns0:f>
        <ns0:v>2.014615384615385</ns0:v>
      </ns0:c>
    </ns0:row>
    <ns0:row r="34" ht="15" hidden="0">
      <ns0:c r="A34" s="9" t="s">
        <ns0:v>168</ns0:v>
      </ns0:c>
      <ns0:c r="B34" s="11" t="n">
        <ns0:f aca="0">AVERAGEIF(Данные!$N$2:$N$128,"снизился",Данные!$F$2:$F$128)</ns0:f>
        <ns0:v>-1.4948571428571429</ns0:v>
      </ns0:c>
    </ns0:row>
    <ns0:row r="35" ht="15" hidden="0">
      <ns0:c r="A35" s="9" t="s">
        <ns0:v>169</ns0:v>
      </ns0:c>
      <ns0:c r="B35" s="11" t="n">
        <ns0:f aca="0">SUMPRODUCT((Данные!$N$2:$N$128="вырос")*(Данные!$F$2:$F$128-B33)^2)/(B31-1)</ns0:f>
        <ns0:v>3.2437138461538457</ns0:v>
      </ns0:c>
    </ns0:row>
    <ns0:row r="36" ht="15" hidden="0">
      <ns0:c r="A36" s="9" t="s">
        <ns0:v>170</ns0:v>
      </ns0:c>
      <ns0:c r="B36" s="11" t="n">
        <ns0:f aca="0">SUMPRODUCT((Данные!$N$2:$N$128="снизился")*(Данные!$F$2:$F$128-B34)^2)/(B32-1)</ns0:f>
        <ns0:v>2.892943361344538</ns0:v>
      </ns0:c>
    </ns0:row>
    <ns0:row r="37" ht="15" hidden="0">
      <ns0:c r="A37" s="9" t="s">
        <ns0:v>171</ns0:v>
      </ns0:c>
      <ns0:c r="B37" s="11" t="n">
        <ns0:f aca="0">(B33-B34)/SQRT(B35/B31+B36/B32)</ns0:f>
        <ns0:v>7.705894801424351</ns0:v>
      </ns0:c>
    </ns0:row>
    <ns0:row r="38" ht="15" hidden="0">
      <ns0:c r="A38" s="9" t="s">
        <ns0:v>172</ns0:v>
      </ns0:c>
      <ns0:c r="B38" s="21" t="n">
        <ns0:f aca="0">(B35/B31+B36/B32)^2/((B35/B31)^2/(B31-1)+(B36/B32)^2/(B32-1))</ns0:f>
        <ns0:v>52.239485524044795</ns0:v>
      </ns0:c>
    </ns0:row>
    <ns0:row r="39" ht="15" hidden="0">
      <ns0:c r="A39" s="9" t="str">
        <ns0:v>p Уэлча без округления степеней свободы</ns0:v>
      </ns0:c>
      <ns0:c r="B39" s="17" t="n">
        <ns0:f aca="0">BETADIST(B38/(B38+B37^2),B38/2,0.5)</ns0:f>
        <ns0:v>3.616477407101895e-10</ns0:v>
      </ns0:c>
    </ns0:row>
    <ns0:row r="41" ht="32" hidden="0" customHeight="1">
      <ns0:c r="A41" s="19" t="str">
        <ns0:v>Источник и дата выгрузки: лист «Данные», P1:Q16.</ns0:v>
      </ns0:c>
      <ns0:c r="B41" s="20"/>
    </ns0:row>
    <ns0:row r="43">
      <ns0:c r="A43" t="str">
        <ns0:v>Методические примечания</ns0:v>
      </ns0:c>
    </ns0:row>
    <ns0:row r="44" ht="40" customHeight="1">
      <ns0:c r="A44" s="20" t="str">
        <ns0:v>p для Спирмена рассчитаны через t-приближение; это не точный перестановочный тест.</ns0:v>
      </ns0:c>
    </ns0:row>
    <ns0:row r="45" ht="40" customHeight="1">
      <ns0:c r="A45" s="20" t="str">
        <ns0:v>B39: двустороннее p через бета-распределение с дробными степенями свободы из B38.</ns0:v>
      </ns0:c>
    </ns0:row>
    <ns0:row r="46" ht="40" customHeight="1">
      <ns0:c r="A46" s="20" t="str">
        <ns0:v>Квадрат Спирмена (B14, B17, B20) не равен доле объяснённой вариации исходных процентов.</ns0:v>
      </ns0:c>
    </ns0:row>
    <ns0:row r="47" ht="40" customHeight="1">
      <ns0:c r="A47" s="20" t="str">
        <ns0:v>Два агрегированных патча не позволяют установить задержку реакции или причинный эффект.</ns0:v>
      </ns0:c>
    </ns0:row>
    <ns0:row r="48" ht="40" customHeight="1">
      <ns0:c r="A48" s="20" t="str">
        <ns0:v>Значения PR и WR заданы в процентах: 26,11 означает 26,11 %, а не долю 0,2611.</ns0:v>
      </ns0:c>
    </ns0:row>
    <ns0:row r="49" ht="40" customHeight="1">
      <ns0:c r="A49" s="20" t="str">
        <ns0:v>Изменения выражены в процентных пунктах; нулевые изменения относятся к точности 0,01 п. п.</ns0:v>
      </ns0:c>
    </ns0:row>
    <ns0:row r="50" ht="40" customHeight="1">
      <ns0:c r="A50" s="20" t="str">
        <ns0:v>Общие матчи героев ограничивают предположение о независимости наблюдений.</ns0:v>
      </ns0:c>
    </ns0:row>
  </ns0:sheetData>
  <ns0:pageMargins left="0.7" right="0.7" top="0.75" bottom="0.75" header="0.3" footer="0.3"/>
</ns0:worksheet>
</file>