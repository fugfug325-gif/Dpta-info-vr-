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ChatGPT\вмни\outputs\fresh_periods\"/>
    </mc:Choice>
  </mc:AlternateContent>
  <xr:revisionPtr revIDLastSave="0" documentId="13_ncr:1_{BEA2DD27-1E0C-4C28-89ED-3030B3E76F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Данные" sheetId="1" r:id="rId1"/>
    <sheet name="Расчет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B23" i="2"/>
  <c r="B22" i="2"/>
  <c r="B21" i="2"/>
  <c r="B20" i="2"/>
  <c r="B18" i="2"/>
  <c r="B17" i="2"/>
  <c r="B16" i="2"/>
  <c r="B15" i="2"/>
  <c r="B14" i="2"/>
  <c r="B3" i="2"/>
  <c r="K128" i="1"/>
  <c r="J128" i="1"/>
  <c r="I128" i="1"/>
  <c r="H128" i="1"/>
  <c r="G128" i="1"/>
  <c r="M128" i="1" s="1"/>
  <c r="F128" i="1"/>
  <c r="L128" i="1" s="1"/>
  <c r="K127" i="1"/>
  <c r="J127" i="1"/>
  <c r="I127" i="1"/>
  <c r="H127" i="1"/>
  <c r="G127" i="1"/>
  <c r="M127" i="1" s="1"/>
  <c r="F127" i="1"/>
  <c r="L127" i="1" s="1"/>
  <c r="K126" i="1"/>
  <c r="J126" i="1"/>
  <c r="I126" i="1"/>
  <c r="H126" i="1"/>
  <c r="G126" i="1"/>
  <c r="M126" i="1" s="1"/>
  <c r="F126" i="1"/>
  <c r="L126" i="1" s="1"/>
  <c r="K125" i="1"/>
  <c r="J125" i="1"/>
  <c r="I125" i="1"/>
  <c r="H125" i="1"/>
  <c r="G125" i="1"/>
  <c r="M125" i="1" s="1"/>
  <c r="F125" i="1"/>
  <c r="L125" i="1" s="1"/>
  <c r="K124" i="1"/>
  <c r="J124" i="1"/>
  <c r="I124" i="1"/>
  <c r="H124" i="1"/>
  <c r="G124" i="1"/>
  <c r="M124" i="1" s="1"/>
  <c r="F124" i="1"/>
  <c r="L124" i="1" s="1"/>
  <c r="K123" i="1"/>
  <c r="J123" i="1"/>
  <c r="I123" i="1"/>
  <c r="H123" i="1"/>
  <c r="G123" i="1"/>
  <c r="F123" i="1"/>
  <c r="K122" i="1"/>
  <c r="J122" i="1"/>
  <c r="I122" i="1"/>
  <c r="H122" i="1"/>
  <c r="G122" i="1"/>
  <c r="M122" i="1" s="1"/>
  <c r="F122" i="1"/>
  <c r="L122" i="1" s="1"/>
  <c r="K121" i="1"/>
  <c r="J121" i="1"/>
  <c r="I121" i="1"/>
  <c r="H121" i="1"/>
  <c r="G121" i="1"/>
  <c r="M121" i="1" s="1"/>
  <c r="F121" i="1"/>
  <c r="L121" i="1" s="1"/>
  <c r="K120" i="1"/>
  <c r="J120" i="1"/>
  <c r="I120" i="1"/>
  <c r="H120" i="1"/>
  <c r="G120" i="1"/>
  <c r="M120" i="1" s="1"/>
  <c r="F120" i="1"/>
  <c r="L120" i="1" s="1"/>
  <c r="K119" i="1"/>
  <c r="J119" i="1"/>
  <c r="I119" i="1"/>
  <c r="H119" i="1"/>
  <c r="G119" i="1"/>
  <c r="M119" i="1" s="1"/>
  <c r="F119" i="1"/>
  <c r="L119" i="1" s="1"/>
  <c r="K118" i="1"/>
  <c r="J118" i="1"/>
  <c r="I118" i="1"/>
  <c r="H118" i="1"/>
  <c r="G118" i="1"/>
  <c r="M118" i="1" s="1"/>
  <c r="F118" i="1"/>
  <c r="L118" i="1" s="1"/>
  <c r="K117" i="1"/>
  <c r="J117" i="1"/>
  <c r="I117" i="1"/>
  <c r="H117" i="1"/>
  <c r="G117" i="1"/>
  <c r="M117" i="1" s="1"/>
  <c r="F117" i="1"/>
  <c r="L117" i="1" s="1"/>
  <c r="K116" i="1"/>
  <c r="J116" i="1"/>
  <c r="I116" i="1"/>
  <c r="H116" i="1"/>
  <c r="G116" i="1"/>
  <c r="M116" i="1" s="1"/>
  <c r="F116" i="1"/>
  <c r="L116" i="1" s="1"/>
  <c r="K115" i="1"/>
  <c r="J115" i="1"/>
  <c r="I115" i="1"/>
  <c r="H115" i="1"/>
  <c r="G115" i="1"/>
  <c r="M115" i="1" s="1"/>
  <c r="F115" i="1"/>
  <c r="L115" i="1" s="1"/>
  <c r="K114" i="1"/>
  <c r="J114" i="1"/>
  <c r="I114" i="1"/>
  <c r="H114" i="1"/>
  <c r="G114" i="1"/>
  <c r="M114" i="1" s="1"/>
  <c r="F114" i="1"/>
  <c r="L114" i="1" s="1"/>
  <c r="K113" i="1"/>
  <c r="J113" i="1"/>
  <c r="I113" i="1"/>
  <c r="H113" i="1"/>
  <c r="G113" i="1"/>
  <c r="M113" i="1" s="1"/>
  <c r="F113" i="1"/>
  <c r="L113" i="1" s="1"/>
  <c r="K112" i="1"/>
  <c r="J112" i="1"/>
  <c r="I112" i="1"/>
  <c r="H112" i="1"/>
  <c r="G112" i="1"/>
  <c r="M112" i="1" s="1"/>
  <c r="F112" i="1"/>
  <c r="L112" i="1" s="1"/>
  <c r="K111" i="1"/>
  <c r="J111" i="1"/>
  <c r="I111" i="1"/>
  <c r="H111" i="1"/>
  <c r="G111" i="1"/>
  <c r="M111" i="1" s="1"/>
  <c r="F111" i="1"/>
  <c r="L111" i="1" s="1"/>
  <c r="K110" i="1"/>
  <c r="J110" i="1"/>
  <c r="I110" i="1"/>
  <c r="H110" i="1"/>
  <c r="G110" i="1"/>
  <c r="M110" i="1" s="1"/>
  <c r="F110" i="1"/>
  <c r="L110" i="1" s="1"/>
  <c r="K109" i="1"/>
  <c r="J109" i="1"/>
  <c r="I109" i="1"/>
  <c r="H109" i="1"/>
  <c r="G109" i="1"/>
  <c r="M109" i="1" s="1"/>
  <c r="F109" i="1"/>
  <c r="L109" i="1" s="1"/>
  <c r="K108" i="1"/>
  <c r="J108" i="1"/>
  <c r="I108" i="1"/>
  <c r="H108" i="1"/>
  <c r="G108" i="1"/>
  <c r="M108" i="1" s="1"/>
  <c r="F108" i="1"/>
  <c r="L108" i="1" s="1"/>
  <c r="K107" i="1"/>
  <c r="J107" i="1"/>
  <c r="I107" i="1"/>
  <c r="H107" i="1"/>
  <c r="G107" i="1"/>
  <c r="M107" i="1" s="1"/>
  <c r="F107" i="1"/>
  <c r="L107" i="1" s="1"/>
  <c r="K106" i="1"/>
  <c r="J106" i="1"/>
  <c r="I106" i="1"/>
  <c r="H106" i="1"/>
  <c r="G106" i="1"/>
  <c r="M106" i="1" s="1"/>
  <c r="F106" i="1"/>
  <c r="L106" i="1" s="1"/>
  <c r="K105" i="1"/>
  <c r="J105" i="1"/>
  <c r="I105" i="1"/>
  <c r="H105" i="1"/>
  <c r="G105" i="1"/>
  <c r="M105" i="1" s="1"/>
  <c r="F105" i="1"/>
  <c r="L105" i="1" s="1"/>
  <c r="K104" i="1"/>
  <c r="J104" i="1"/>
  <c r="I104" i="1"/>
  <c r="H104" i="1"/>
  <c r="G104" i="1"/>
  <c r="M104" i="1" s="1"/>
  <c r="F104" i="1"/>
  <c r="L104" i="1" s="1"/>
  <c r="K103" i="1"/>
  <c r="J103" i="1"/>
  <c r="I103" i="1"/>
  <c r="H103" i="1"/>
  <c r="G103" i="1"/>
  <c r="M103" i="1" s="1"/>
  <c r="F103" i="1"/>
  <c r="L103" i="1" s="1"/>
  <c r="K102" i="1"/>
  <c r="J102" i="1"/>
  <c r="I102" i="1"/>
  <c r="H102" i="1"/>
  <c r="G102" i="1"/>
  <c r="M102" i="1" s="1"/>
  <c r="F102" i="1"/>
  <c r="L102" i="1" s="1"/>
  <c r="K101" i="1"/>
  <c r="J101" i="1"/>
  <c r="I101" i="1"/>
  <c r="H101" i="1"/>
  <c r="G101" i="1"/>
  <c r="M101" i="1" s="1"/>
  <c r="F101" i="1"/>
  <c r="L101" i="1" s="1"/>
  <c r="K100" i="1"/>
  <c r="J100" i="1"/>
  <c r="I100" i="1"/>
  <c r="H100" i="1"/>
  <c r="G100" i="1"/>
  <c r="M100" i="1" s="1"/>
  <c r="F100" i="1"/>
  <c r="L100" i="1" s="1"/>
  <c r="K99" i="1"/>
  <c r="J99" i="1"/>
  <c r="I99" i="1"/>
  <c r="H99" i="1"/>
  <c r="G99" i="1"/>
  <c r="F99" i="1"/>
  <c r="K98" i="1"/>
  <c r="J98" i="1"/>
  <c r="I98" i="1"/>
  <c r="H98" i="1"/>
  <c r="G98" i="1"/>
  <c r="M98" i="1" s="1"/>
  <c r="F98" i="1"/>
  <c r="L98" i="1" s="1"/>
  <c r="K97" i="1"/>
  <c r="J97" i="1"/>
  <c r="I97" i="1"/>
  <c r="H97" i="1"/>
  <c r="G97" i="1"/>
  <c r="M97" i="1" s="1"/>
  <c r="F97" i="1"/>
  <c r="L97" i="1" s="1"/>
  <c r="K96" i="1"/>
  <c r="J96" i="1"/>
  <c r="I96" i="1"/>
  <c r="H96" i="1"/>
  <c r="G96" i="1"/>
  <c r="M96" i="1" s="1"/>
  <c r="F96" i="1"/>
  <c r="L96" i="1" s="1"/>
  <c r="K95" i="1"/>
  <c r="J95" i="1"/>
  <c r="I95" i="1"/>
  <c r="H95" i="1"/>
  <c r="G95" i="1"/>
  <c r="M95" i="1" s="1"/>
  <c r="F95" i="1"/>
  <c r="L95" i="1" s="1"/>
  <c r="K94" i="1"/>
  <c r="J94" i="1"/>
  <c r="I94" i="1"/>
  <c r="H94" i="1"/>
  <c r="G94" i="1"/>
  <c r="M94" i="1" s="1"/>
  <c r="F94" i="1"/>
  <c r="L94" i="1" s="1"/>
  <c r="K93" i="1"/>
  <c r="J93" i="1"/>
  <c r="I93" i="1"/>
  <c r="H93" i="1"/>
  <c r="G93" i="1"/>
  <c r="M93" i="1" s="1"/>
  <c r="F93" i="1"/>
  <c r="L93" i="1" s="1"/>
  <c r="K92" i="1"/>
  <c r="J92" i="1"/>
  <c r="I92" i="1"/>
  <c r="H92" i="1"/>
  <c r="G92" i="1"/>
  <c r="M92" i="1" s="1"/>
  <c r="F92" i="1"/>
  <c r="L92" i="1" s="1"/>
  <c r="K91" i="1"/>
  <c r="J91" i="1"/>
  <c r="I91" i="1"/>
  <c r="H91" i="1"/>
  <c r="G91" i="1"/>
  <c r="M91" i="1" s="1"/>
  <c r="F91" i="1"/>
  <c r="K90" i="1"/>
  <c r="J90" i="1"/>
  <c r="I90" i="1"/>
  <c r="H90" i="1"/>
  <c r="G90" i="1"/>
  <c r="M90" i="1" s="1"/>
  <c r="F90" i="1"/>
  <c r="L90" i="1" s="1"/>
  <c r="K89" i="1"/>
  <c r="J89" i="1"/>
  <c r="I89" i="1"/>
  <c r="H89" i="1"/>
  <c r="G89" i="1"/>
  <c r="M89" i="1" s="1"/>
  <c r="F89" i="1"/>
  <c r="L89" i="1" s="1"/>
  <c r="K88" i="1"/>
  <c r="J88" i="1"/>
  <c r="I88" i="1"/>
  <c r="H88" i="1"/>
  <c r="G88" i="1"/>
  <c r="M88" i="1" s="1"/>
  <c r="F88" i="1"/>
  <c r="L88" i="1" s="1"/>
  <c r="K87" i="1"/>
  <c r="J87" i="1"/>
  <c r="I87" i="1"/>
  <c r="H87" i="1"/>
  <c r="G87" i="1"/>
  <c r="M87" i="1" s="1"/>
  <c r="F87" i="1"/>
  <c r="L87" i="1" s="1"/>
  <c r="K86" i="1"/>
  <c r="J86" i="1"/>
  <c r="I86" i="1"/>
  <c r="H86" i="1"/>
  <c r="G86" i="1"/>
  <c r="M86" i="1" s="1"/>
  <c r="F86" i="1"/>
  <c r="L86" i="1" s="1"/>
  <c r="K85" i="1"/>
  <c r="J85" i="1"/>
  <c r="I85" i="1"/>
  <c r="H85" i="1"/>
  <c r="G85" i="1"/>
  <c r="M85" i="1" s="1"/>
  <c r="F85" i="1"/>
  <c r="L85" i="1" s="1"/>
  <c r="K84" i="1"/>
  <c r="J84" i="1"/>
  <c r="I84" i="1"/>
  <c r="H84" i="1"/>
  <c r="G84" i="1"/>
  <c r="M84" i="1" s="1"/>
  <c r="F84" i="1"/>
  <c r="L84" i="1" s="1"/>
  <c r="K83" i="1"/>
  <c r="J83" i="1"/>
  <c r="I83" i="1"/>
  <c r="H83" i="1"/>
  <c r="G83" i="1"/>
  <c r="M83" i="1" s="1"/>
  <c r="F83" i="1"/>
  <c r="K82" i="1"/>
  <c r="J82" i="1"/>
  <c r="I82" i="1"/>
  <c r="H82" i="1"/>
  <c r="G82" i="1"/>
  <c r="M82" i="1" s="1"/>
  <c r="F82" i="1"/>
  <c r="L82" i="1" s="1"/>
  <c r="K81" i="1"/>
  <c r="J81" i="1"/>
  <c r="I81" i="1"/>
  <c r="H81" i="1"/>
  <c r="G81" i="1"/>
  <c r="M81" i="1" s="1"/>
  <c r="F81" i="1"/>
  <c r="L81" i="1" s="1"/>
  <c r="K80" i="1"/>
  <c r="J80" i="1"/>
  <c r="I80" i="1"/>
  <c r="H80" i="1"/>
  <c r="G80" i="1"/>
  <c r="M80" i="1" s="1"/>
  <c r="F80" i="1"/>
  <c r="L80" i="1" s="1"/>
  <c r="K79" i="1"/>
  <c r="J79" i="1"/>
  <c r="I79" i="1"/>
  <c r="H79" i="1"/>
  <c r="G79" i="1"/>
  <c r="M79" i="1" s="1"/>
  <c r="F79" i="1"/>
  <c r="L79" i="1" s="1"/>
  <c r="K78" i="1"/>
  <c r="J78" i="1"/>
  <c r="I78" i="1"/>
  <c r="H78" i="1"/>
  <c r="G78" i="1"/>
  <c r="M78" i="1" s="1"/>
  <c r="F78" i="1"/>
  <c r="L78" i="1" s="1"/>
  <c r="K77" i="1"/>
  <c r="J77" i="1"/>
  <c r="I77" i="1"/>
  <c r="H77" i="1"/>
  <c r="G77" i="1"/>
  <c r="M77" i="1" s="1"/>
  <c r="F77" i="1"/>
  <c r="L77" i="1" s="1"/>
  <c r="K76" i="1"/>
  <c r="J76" i="1"/>
  <c r="I76" i="1"/>
  <c r="H76" i="1"/>
  <c r="G76" i="1"/>
  <c r="M76" i="1" s="1"/>
  <c r="F76" i="1"/>
  <c r="L76" i="1" s="1"/>
  <c r="K75" i="1"/>
  <c r="J75" i="1"/>
  <c r="I75" i="1"/>
  <c r="H75" i="1"/>
  <c r="G75" i="1"/>
  <c r="M75" i="1" s="1"/>
  <c r="F75" i="1"/>
  <c r="L75" i="1" s="1"/>
  <c r="K74" i="1"/>
  <c r="J74" i="1"/>
  <c r="I74" i="1"/>
  <c r="H74" i="1"/>
  <c r="G74" i="1"/>
  <c r="M74" i="1" s="1"/>
  <c r="F74" i="1"/>
  <c r="L74" i="1" s="1"/>
  <c r="K73" i="1"/>
  <c r="J73" i="1"/>
  <c r="I73" i="1"/>
  <c r="H73" i="1"/>
  <c r="G73" i="1"/>
  <c r="M73" i="1" s="1"/>
  <c r="F73" i="1"/>
  <c r="L73" i="1" s="1"/>
  <c r="K72" i="1"/>
  <c r="J72" i="1"/>
  <c r="I72" i="1"/>
  <c r="H72" i="1"/>
  <c r="G72" i="1"/>
  <c r="M72" i="1" s="1"/>
  <c r="F72" i="1"/>
  <c r="L72" i="1" s="1"/>
  <c r="K71" i="1"/>
  <c r="J71" i="1"/>
  <c r="I71" i="1"/>
  <c r="H71" i="1"/>
  <c r="G71" i="1"/>
  <c r="M71" i="1" s="1"/>
  <c r="F71" i="1"/>
  <c r="L71" i="1" s="1"/>
  <c r="K70" i="1"/>
  <c r="J70" i="1"/>
  <c r="I70" i="1"/>
  <c r="H70" i="1"/>
  <c r="G70" i="1"/>
  <c r="M70" i="1" s="1"/>
  <c r="F70" i="1"/>
  <c r="L70" i="1" s="1"/>
  <c r="K69" i="1"/>
  <c r="J69" i="1"/>
  <c r="I69" i="1"/>
  <c r="H69" i="1"/>
  <c r="G69" i="1"/>
  <c r="M69" i="1" s="1"/>
  <c r="F69" i="1"/>
  <c r="L69" i="1" s="1"/>
  <c r="K68" i="1"/>
  <c r="J68" i="1"/>
  <c r="I68" i="1"/>
  <c r="H68" i="1"/>
  <c r="G68" i="1"/>
  <c r="M68" i="1" s="1"/>
  <c r="F68" i="1"/>
  <c r="L68" i="1" s="1"/>
  <c r="K67" i="1"/>
  <c r="J67" i="1"/>
  <c r="I67" i="1"/>
  <c r="H67" i="1"/>
  <c r="G67" i="1"/>
  <c r="M67" i="1" s="1"/>
  <c r="F67" i="1"/>
  <c r="L67" i="1" s="1"/>
  <c r="K66" i="1"/>
  <c r="J66" i="1"/>
  <c r="I66" i="1"/>
  <c r="H66" i="1"/>
  <c r="G66" i="1"/>
  <c r="M66" i="1" s="1"/>
  <c r="F66" i="1"/>
  <c r="L66" i="1" s="1"/>
  <c r="K65" i="1"/>
  <c r="J65" i="1"/>
  <c r="I65" i="1"/>
  <c r="H65" i="1"/>
  <c r="G65" i="1"/>
  <c r="M65" i="1" s="1"/>
  <c r="F65" i="1"/>
  <c r="L65" i="1" s="1"/>
  <c r="K64" i="1"/>
  <c r="J64" i="1"/>
  <c r="I64" i="1"/>
  <c r="H64" i="1"/>
  <c r="G64" i="1"/>
  <c r="M64" i="1" s="1"/>
  <c r="F64" i="1"/>
  <c r="L64" i="1" s="1"/>
  <c r="K63" i="1"/>
  <c r="J63" i="1"/>
  <c r="I63" i="1"/>
  <c r="H63" i="1"/>
  <c r="G63" i="1"/>
  <c r="M63" i="1" s="1"/>
  <c r="F63" i="1"/>
  <c r="L63" i="1" s="1"/>
  <c r="K62" i="1"/>
  <c r="J62" i="1"/>
  <c r="I62" i="1"/>
  <c r="H62" i="1"/>
  <c r="G62" i="1"/>
  <c r="M62" i="1" s="1"/>
  <c r="F62" i="1"/>
  <c r="L62" i="1" s="1"/>
  <c r="K61" i="1"/>
  <c r="J61" i="1"/>
  <c r="I61" i="1"/>
  <c r="H61" i="1"/>
  <c r="G61" i="1"/>
  <c r="M61" i="1" s="1"/>
  <c r="F61" i="1"/>
  <c r="L61" i="1" s="1"/>
  <c r="K60" i="1"/>
  <c r="J60" i="1"/>
  <c r="I60" i="1"/>
  <c r="H60" i="1"/>
  <c r="G60" i="1"/>
  <c r="M60" i="1" s="1"/>
  <c r="F60" i="1"/>
  <c r="L60" i="1" s="1"/>
  <c r="K59" i="1"/>
  <c r="J59" i="1"/>
  <c r="I59" i="1"/>
  <c r="H59" i="1"/>
  <c r="G59" i="1"/>
  <c r="M59" i="1" s="1"/>
  <c r="F59" i="1"/>
  <c r="L59" i="1" s="1"/>
  <c r="K58" i="1"/>
  <c r="J58" i="1"/>
  <c r="I58" i="1"/>
  <c r="H58" i="1"/>
  <c r="G58" i="1"/>
  <c r="F58" i="1"/>
  <c r="K57" i="1"/>
  <c r="J57" i="1"/>
  <c r="I57" i="1"/>
  <c r="H57" i="1"/>
  <c r="G57" i="1"/>
  <c r="M57" i="1" s="1"/>
  <c r="F57" i="1"/>
  <c r="L57" i="1" s="1"/>
  <c r="K56" i="1"/>
  <c r="J56" i="1"/>
  <c r="I56" i="1"/>
  <c r="H56" i="1"/>
  <c r="G56" i="1"/>
  <c r="M56" i="1" s="1"/>
  <c r="F56" i="1"/>
  <c r="L56" i="1" s="1"/>
  <c r="K55" i="1"/>
  <c r="J55" i="1"/>
  <c r="I55" i="1"/>
  <c r="H55" i="1"/>
  <c r="G55" i="1"/>
  <c r="M55" i="1" s="1"/>
  <c r="F55" i="1"/>
  <c r="L55" i="1" s="1"/>
  <c r="K54" i="1"/>
  <c r="J54" i="1"/>
  <c r="I54" i="1"/>
  <c r="H54" i="1"/>
  <c r="G54" i="1"/>
  <c r="M54" i="1" s="1"/>
  <c r="F54" i="1"/>
  <c r="L54" i="1" s="1"/>
  <c r="K53" i="1"/>
  <c r="J53" i="1"/>
  <c r="I53" i="1"/>
  <c r="H53" i="1"/>
  <c r="G53" i="1"/>
  <c r="M53" i="1" s="1"/>
  <c r="F53" i="1"/>
  <c r="L53" i="1" s="1"/>
  <c r="K52" i="1"/>
  <c r="J52" i="1"/>
  <c r="I52" i="1"/>
  <c r="H52" i="1"/>
  <c r="G52" i="1"/>
  <c r="M52" i="1" s="1"/>
  <c r="F52" i="1"/>
  <c r="L52" i="1" s="1"/>
  <c r="K51" i="1"/>
  <c r="J51" i="1"/>
  <c r="I51" i="1"/>
  <c r="H51" i="1"/>
  <c r="G51" i="1"/>
  <c r="M51" i="1" s="1"/>
  <c r="F51" i="1"/>
  <c r="L51" i="1" s="1"/>
  <c r="K50" i="1"/>
  <c r="J50" i="1"/>
  <c r="I50" i="1"/>
  <c r="H50" i="1"/>
  <c r="G50" i="1"/>
  <c r="M50" i="1" s="1"/>
  <c r="F50" i="1"/>
  <c r="L50" i="1" s="1"/>
  <c r="K49" i="1"/>
  <c r="J49" i="1"/>
  <c r="I49" i="1"/>
  <c r="H49" i="1"/>
  <c r="G49" i="1"/>
  <c r="M49" i="1" s="1"/>
  <c r="F49" i="1"/>
  <c r="L49" i="1" s="1"/>
  <c r="K48" i="1"/>
  <c r="J48" i="1"/>
  <c r="I48" i="1"/>
  <c r="H48" i="1"/>
  <c r="G48" i="1"/>
  <c r="M48" i="1" s="1"/>
  <c r="F48" i="1"/>
  <c r="L48" i="1" s="1"/>
  <c r="K47" i="1"/>
  <c r="J47" i="1"/>
  <c r="I47" i="1"/>
  <c r="H47" i="1"/>
  <c r="G47" i="1"/>
  <c r="M47" i="1" s="1"/>
  <c r="F47" i="1"/>
  <c r="L47" i="1" s="1"/>
  <c r="K46" i="1"/>
  <c r="J46" i="1"/>
  <c r="I46" i="1"/>
  <c r="H46" i="1"/>
  <c r="G46" i="1"/>
  <c r="M46" i="1" s="1"/>
  <c r="F46" i="1"/>
  <c r="L46" i="1" s="1"/>
  <c r="K45" i="1"/>
  <c r="J45" i="1"/>
  <c r="I45" i="1"/>
  <c r="H45" i="1"/>
  <c r="G45" i="1"/>
  <c r="M45" i="1" s="1"/>
  <c r="F45" i="1"/>
  <c r="L45" i="1" s="1"/>
  <c r="K44" i="1"/>
  <c r="J44" i="1"/>
  <c r="I44" i="1"/>
  <c r="H44" i="1"/>
  <c r="G44" i="1"/>
  <c r="M44" i="1" s="1"/>
  <c r="F44" i="1"/>
  <c r="L44" i="1" s="1"/>
  <c r="K43" i="1"/>
  <c r="J43" i="1"/>
  <c r="I43" i="1"/>
  <c r="H43" i="1"/>
  <c r="G43" i="1"/>
  <c r="M43" i="1" s="1"/>
  <c r="F43" i="1"/>
  <c r="L43" i="1" s="1"/>
  <c r="K42" i="1"/>
  <c r="J42" i="1"/>
  <c r="I42" i="1"/>
  <c r="H42" i="1"/>
  <c r="G42" i="1"/>
  <c r="M42" i="1" s="1"/>
  <c r="F42" i="1"/>
  <c r="L42" i="1" s="1"/>
  <c r="K41" i="1"/>
  <c r="J41" i="1"/>
  <c r="I41" i="1"/>
  <c r="H41" i="1"/>
  <c r="G41" i="1"/>
  <c r="M41" i="1" s="1"/>
  <c r="F41" i="1"/>
  <c r="L41" i="1" s="1"/>
  <c r="K40" i="1"/>
  <c r="J40" i="1"/>
  <c r="I40" i="1"/>
  <c r="H40" i="1"/>
  <c r="G40" i="1"/>
  <c r="M40" i="1" s="1"/>
  <c r="F40" i="1"/>
  <c r="L40" i="1" s="1"/>
  <c r="K39" i="1"/>
  <c r="J39" i="1"/>
  <c r="I39" i="1"/>
  <c r="H39" i="1"/>
  <c r="G39" i="1"/>
  <c r="M39" i="1" s="1"/>
  <c r="F39" i="1"/>
  <c r="L39" i="1" s="1"/>
  <c r="K38" i="1"/>
  <c r="J38" i="1"/>
  <c r="I38" i="1"/>
  <c r="H38" i="1"/>
  <c r="G38" i="1"/>
  <c r="M38" i="1" s="1"/>
  <c r="F38" i="1"/>
  <c r="L38" i="1" s="1"/>
  <c r="K37" i="1"/>
  <c r="J37" i="1"/>
  <c r="I37" i="1"/>
  <c r="H37" i="1"/>
  <c r="G37" i="1"/>
  <c r="M37" i="1" s="1"/>
  <c r="F37" i="1"/>
  <c r="L37" i="1" s="1"/>
  <c r="K36" i="1"/>
  <c r="J36" i="1"/>
  <c r="I36" i="1"/>
  <c r="H36" i="1"/>
  <c r="G36" i="1"/>
  <c r="M36" i="1" s="1"/>
  <c r="F36" i="1"/>
  <c r="L36" i="1" s="1"/>
  <c r="K35" i="1"/>
  <c r="J35" i="1"/>
  <c r="I35" i="1"/>
  <c r="H35" i="1"/>
  <c r="G35" i="1"/>
  <c r="M35" i="1" s="1"/>
  <c r="F35" i="1"/>
  <c r="L35" i="1" s="1"/>
  <c r="K34" i="1"/>
  <c r="J34" i="1"/>
  <c r="I34" i="1"/>
  <c r="H34" i="1"/>
  <c r="G34" i="1"/>
  <c r="M34" i="1" s="1"/>
  <c r="F34" i="1"/>
  <c r="L34" i="1" s="1"/>
  <c r="K33" i="1"/>
  <c r="J33" i="1"/>
  <c r="I33" i="1"/>
  <c r="H33" i="1"/>
  <c r="G33" i="1"/>
  <c r="M33" i="1" s="1"/>
  <c r="F33" i="1"/>
  <c r="L33" i="1" s="1"/>
  <c r="K32" i="1"/>
  <c r="J32" i="1"/>
  <c r="I32" i="1"/>
  <c r="H32" i="1"/>
  <c r="G32" i="1"/>
  <c r="M32" i="1" s="1"/>
  <c r="F32" i="1"/>
  <c r="L32" i="1" s="1"/>
  <c r="K31" i="1"/>
  <c r="J31" i="1"/>
  <c r="I31" i="1"/>
  <c r="H31" i="1"/>
  <c r="G31" i="1"/>
  <c r="M31" i="1" s="1"/>
  <c r="F31" i="1"/>
  <c r="L31" i="1" s="1"/>
  <c r="K30" i="1"/>
  <c r="J30" i="1"/>
  <c r="I30" i="1"/>
  <c r="H30" i="1"/>
  <c r="G30" i="1"/>
  <c r="M30" i="1" s="1"/>
  <c r="F30" i="1"/>
  <c r="L30" i="1" s="1"/>
  <c r="K29" i="1"/>
  <c r="J29" i="1"/>
  <c r="I29" i="1"/>
  <c r="H29" i="1"/>
  <c r="G29" i="1"/>
  <c r="M29" i="1" s="1"/>
  <c r="F29" i="1"/>
  <c r="L29" i="1" s="1"/>
  <c r="K28" i="1"/>
  <c r="J28" i="1"/>
  <c r="I28" i="1"/>
  <c r="H28" i="1"/>
  <c r="G28" i="1"/>
  <c r="M28" i="1" s="1"/>
  <c r="F28" i="1"/>
  <c r="L28" i="1" s="1"/>
  <c r="K27" i="1"/>
  <c r="J27" i="1"/>
  <c r="I27" i="1"/>
  <c r="H27" i="1"/>
  <c r="G27" i="1"/>
  <c r="F27" i="1"/>
  <c r="M26" i="1"/>
  <c r="L26" i="1"/>
  <c r="K26" i="1"/>
  <c r="J26" i="1"/>
  <c r="I26" i="1"/>
  <c r="H26" i="1"/>
  <c r="G26" i="1"/>
  <c r="F26" i="1"/>
  <c r="K25" i="1"/>
  <c r="J25" i="1"/>
  <c r="I25" i="1"/>
  <c r="H25" i="1"/>
  <c r="G25" i="1"/>
  <c r="M25" i="1" s="1"/>
  <c r="F25" i="1"/>
  <c r="L25" i="1" s="1"/>
  <c r="K24" i="1"/>
  <c r="J24" i="1"/>
  <c r="I24" i="1"/>
  <c r="H24" i="1"/>
  <c r="G24" i="1"/>
  <c r="M24" i="1" s="1"/>
  <c r="F24" i="1"/>
  <c r="L24" i="1" s="1"/>
  <c r="K23" i="1"/>
  <c r="J23" i="1"/>
  <c r="I23" i="1"/>
  <c r="H23" i="1"/>
  <c r="G23" i="1"/>
  <c r="M23" i="1" s="1"/>
  <c r="F23" i="1"/>
  <c r="L23" i="1" s="1"/>
  <c r="K22" i="1"/>
  <c r="J22" i="1"/>
  <c r="I22" i="1"/>
  <c r="H22" i="1"/>
  <c r="G22" i="1"/>
  <c r="M22" i="1" s="1"/>
  <c r="F22" i="1"/>
  <c r="L22" i="1" s="1"/>
  <c r="K21" i="1"/>
  <c r="J21" i="1"/>
  <c r="I21" i="1"/>
  <c r="H21" i="1"/>
  <c r="G21" i="1"/>
  <c r="M21" i="1" s="1"/>
  <c r="F21" i="1"/>
  <c r="L21" i="1" s="1"/>
  <c r="K20" i="1"/>
  <c r="J20" i="1"/>
  <c r="I20" i="1"/>
  <c r="H20" i="1"/>
  <c r="G20" i="1"/>
  <c r="M20" i="1" s="1"/>
  <c r="F20" i="1"/>
  <c r="L20" i="1" s="1"/>
  <c r="K19" i="1"/>
  <c r="J19" i="1"/>
  <c r="I19" i="1"/>
  <c r="H19" i="1"/>
  <c r="G19" i="1"/>
  <c r="M19" i="1" s="1"/>
  <c r="F19" i="1"/>
  <c r="L19" i="1" s="1"/>
  <c r="K18" i="1"/>
  <c r="J18" i="1"/>
  <c r="I18" i="1"/>
  <c r="H18" i="1"/>
  <c r="G18" i="1"/>
  <c r="F18" i="1"/>
  <c r="K17" i="1"/>
  <c r="J17" i="1"/>
  <c r="I17" i="1"/>
  <c r="H17" i="1"/>
  <c r="G17" i="1"/>
  <c r="M17" i="1" s="1"/>
  <c r="F17" i="1"/>
  <c r="L17" i="1" s="1"/>
  <c r="K16" i="1"/>
  <c r="J16" i="1"/>
  <c r="I16" i="1"/>
  <c r="H16" i="1"/>
  <c r="G16" i="1"/>
  <c r="M16" i="1" s="1"/>
  <c r="F16" i="1"/>
  <c r="L16" i="1" s="1"/>
  <c r="K15" i="1"/>
  <c r="J15" i="1"/>
  <c r="I15" i="1"/>
  <c r="H15" i="1"/>
  <c r="G15" i="1"/>
  <c r="M15" i="1" s="1"/>
  <c r="F15" i="1"/>
  <c r="L15" i="1" s="1"/>
  <c r="K14" i="1"/>
  <c r="J14" i="1"/>
  <c r="I14" i="1"/>
  <c r="H14" i="1"/>
  <c r="G14" i="1"/>
  <c r="M14" i="1" s="1"/>
  <c r="F14" i="1"/>
  <c r="L14" i="1" s="1"/>
  <c r="K13" i="1"/>
  <c r="J13" i="1"/>
  <c r="I13" i="1"/>
  <c r="H13" i="1"/>
  <c r="G13" i="1"/>
  <c r="M13" i="1" s="1"/>
  <c r="F13" i="1"/>
  <c r="L13" i="1" s="1"/>
  <c r="K12" i="1"/>
  <c r="J12" i="1"/>
  <c r="I12" i="1"/>
  <c r="H12" i="1"/>
  <c r="G12" i="1"/>
  <c r="M12" i="1" s="1"/>
  <c r="F12" i="1"/>
  <c r="L12" i="1" s="1"/>
  <c r="K11" i="1"/>
  <c r="J11" i="1"/>
  <c r="I11" i="1"/>
  <c r="H11" i="1"/>
  <c r="G11" i="1"/>
  <c r="M11" i="1" s="1"/>
  <c r="F11" i="1"/>
  <c r="L11" i="1" s="1"/>
  <c r="K10" i="1"/>
  <c r="J10" i="1"/>
  <c r="I10" i="1"/>
  <c r="H10" i="1"/>
  <c r="G10" i="1"/>
  <c r="F10" i="1"/>
  <c r="K9" i="1"/>
  <c r="J9" i="1"/>
  <c r="I9" i="1"/>
  <c r="H9" i="1"/>
  <c r="G9" i="1"/>
  <c r="M9" i="1" s="1"/>
  <c r="F9" i="1"/>
  <c r="L9" i="1" s="1"/>
  <c r="K8" i="1"/>
  <c r="J8" i="1"/>
  <c r="I8" i="1"/>
  <c r="H8" i="1"/>
  <c r="G8" i="1"/>
  <c r="M8" i="1" s="1"/>
  <c r="F8" i="1"/>
  <c r="L8" i="1" s="1"/>
  <c r="K7" i="1"/>
  <c r="J7" i="1"/>
  <c r="I7" i="1"/>
  <c r="H7" i="1"/>
  <c r="G7" i="1"/>
  <c r="M7" i="1" s="1"/>
  <c r="F7" i="1"/>
  <c r="L7" i="1" s="1"/>
  <c r="K6" i="1"/>
  <c r="J6" i="1"/>
  <c r="I6" i="1"/>
  <c r="H6" i="1"/>
  <c r="G6" i="1"/>
  <c r="M6" i="1" s="1"/>
  <c r="F6" i="1"/>
  <c r="L6" i="1" s="1"/>
  <c r="K5" i="1"/>
  <c r="J5" i="1"/>
  <c r="I5" i="1"/>
  <c r="H5" i="1"/>
  <c r="G5" i="1"/>
  <c r="M5" i="1" s="1"/>
  <c r="F5" i="1"/>
  <c r="L5" i="1" s="1"/>
  <c r="K4" i="1"/>
  <c r="J4" i="1"/>
  <c r="I4" i="1"/>
  <c r="H4" i="1"/>
  <c r="G4" i="1"/>
  <c r="M4" i="1" s="1"/>
  <c r="F4" i="1"/>
  <c r="L4" i="1" s="1"/>
  <c r="K3" i="1"/>
  <c r="J3" i="1"/>
  <c r="I3" i="1"/>
  <c r="H3" i="1"/>
  <c r="G3" i="1"/>
  <c r="M3" i="1" s="1"/>
  <c r="F3" i="1"/>
  <c r="L3" i="1" s="1"/>
  <c r="K2" i="1"/>
  <c r="J2" i="1"/>
  <c r="B8" i="2" s="1"/>
  <c r="B9" i="2" s="1"/>
  <c r="I2" i="1"/>
  <c r="H2" i="1"/>
  <c r="B5" i="2" s="1"/>
  <c r="B6" i="2" s="1"/>
  <c r="G2" i="1"/>
  <c r="F2" i="1"/>
  <c r="B29" i="2" l="1"/>
  <c r="B28" i="2"/>
  <c r="M27" i="1"/>
  <c r="M99" i="1"/>
  <c r="M58" i="1"/>
  <c r="L58" i="1"/>
  <c r="L27" i="1"/>
  <c r="L99" i="1"/>
  <c r="L91" i="1"/>
  <c r="L10" i="1"/>
  <c r="L83" i="1"/>
  <c r="L18" i="1"/>
  <c r="L123" i="1"/>
  <c r="M123" i="1"/>
  <c r="M10" i="1"/>
  <c r="M18" i="1"/>
  <c r="M2" i="1"/>
  <c r="B26" i="2"/>
  <c r="L2" i="1"/>
  <c r="B27" i="2"/>
  <c r="B11" i="2" l="1"/>
  <c r="B12" i="2" s="1"/>
</calcChain>
</file>

<file path=xl/sharedStrings.xml><?xml version="1.0" encoding="utf-8"?>
<sst xmlns="http://schemas.openxmlformats.org/spreadsheetml/2006/main" count="162" uniqueCount="160">
  <si>
    <t>Герой</t>
  </si>
  <si>
    <t>Пикрейт 12 мес., %</t>
  </si>
  <si>
    <t>Винрейт 12 мес., %</t>
  </si>
  <si>
    <t>Пикрейт 7 дней, %</t>
  </si>
  <si>
    <t>Винрейт 7 дней, %</t>
  </si>
  <si>
    <t>Разность пикрейта, п. п.</t>
  </si>
  <si>
    <t>Разность винрейта, п. п.</t>
  </si>
  <si>
    <t>Ранг PR 12 мес.</t>
  </si>
  <si>
    <t>Ранг WR 12 мес.</t>
  </si>
  <si>
    <t>Ранг PR 7 дней</t>
  </si>
  <si>
    <t>Ранг WR 7 дней</t>
  </si>
  <si>
    <t>Ранг разности PR</t>
  </si>
  <si>
    <t>Ранг разности WR</t>
  </si>
  <si>
    <t>Phantom Lancer</t>
  </si>
  <si>
    <t>Outworld Destroyer</t>
  </si>
  <si>
    <t>Wraith King</t>
  </si>
  <si>
    <t>Pudge</t>
  </si>
  <si>
    <t>Spirit Breaker</t>
  </si>
  <si>
    <t>Legion Commander</t>
  </si>
  <si>
    <t>Spectre</t>
  </si>
  <si>
    <t>Dragon Knight</t>
  </si>
  <si>
    <t>Meepo</t>
  </si>
  <si>
    <t>Juggernaut</t>
  </si>
  <si>
    <t>Anti-Mage</t>
  </si>
  <si>
    <t>Witch Doctor</t>
  </si>
  <si>
    <t>Nyx Assassin</t>
  </si>
  <si>
    <t>Riki</t>
  </si>
  <si>
    <t>Lifestealer</t>
  </si>
  <si>
    <t>Arc Warden</t>
  </si>
  <si>
    <t>Shadow Shaman</t>
  </si>
  <si>
    <t>Lich</t>
  </si>
  <si>
    <t>Bounty Hunter</t>
  </si>
  <si>
    <t>Dawnbreaker</t>
  </si>
  <si>
    <t>Visage</t>
  </si>
  <si>
    <t>Axe</t>
  </si>
  <si>
    <t>Vengeful Spirit</t>
  </si>
  <si>
    <t>Necrophos</t>
  </si>
  <si>
    <t>Techies</t>
  </si>
  <si>
    <t>Phantom Assassin</t>
  </si>
  <si>
    <t>Night Stalker</t>
  </si>
  <si>
    <t>Invoker</t>
  </si>
  <si>
    <t>Crystal Maiden</t>
  </si>
  <si>
    <t>Grimstroke</t>
  </si>
  <si>
    <t>Mirana</t>
  </si>
  <si>
    <t>Sniper</t>
  </si>
  <si>
    <t>Sven</t>
  </si>
  <si>
    <t>Bloodseeker</t>
  </si>
  <si>
    <t>Earthshaker</t>
  </si>
  <si>
    <t>Phoenix</t>
  </si>
  <si>
    <t>Troll Warlord</t>
  </si>
  <si>
    <t>Ancient Apparition</t>
  </si>
  <si>
    <t>Silencer</t>
  </si>
  <si>
    <t>Leshrac</t>
  </si>
  <si>
    <t>Luna</t>
  </si>
  <si>
    <t>Dazzle</t>
  </si>
  <si>
    <t>Abaddon</t>
  </si>
  <si>
    <t>Ogre Magi</t>
  </si>
  <si>
    <t>Enigma</t>
  </si>
  <si>
    <t>Chaos Knight</t>
  </si>
  <si>
    <t>Slark</t>
  </si>
  <si>
    <t>Rubick</t>
  </si>
  <si>
    <t>Zeus</t>
  </si>
  <si>
    <t>Disruptor</t>
  </si>
  <si>
    <t>Lion</t>
  </si>
  <si>
    <t>Undying</t>
  </si>
  <si>
    <t>Broodmother</t>
  </si>
  <si>
    <t>Omniknight</t>
  </si>
  <si>
    <t>Skywrath Mage</t>
  </si>
  <si>
    <t>Lone Druid</t>
  </si>
  <si>
    <t>Pugna</t>
  </si>
  <si>
    <t>Brewmaster</t>
  </si>
  <si>
    <t>Razor</t>
  </si>
  <si>
    <t>Warlock</t>
  </si>
  <si>
    <t>Io</t>
  </si>
  <si>
    <t>Winter Wyvern</t>
  </si>
  <si>
    <t>Oracle</t>
  </si>
  <si>
    <t>Clinkz</t>
  </si>
  <si>
    <t>Tidehunter</t>
  </si>
  <si>
    <t>Snapfire</t>
  </si>
  <si>
    <t>Bristleback</t>
  </si>
  <si>
    <t>Windranger</t>
  </si>
  <si>
    <t>Magnus</t>
  </si>
  <si>
    <t>Viper</t>
  </si>
  <si>
    <t>Sand King</t>
  </si>
  <si>
    <t>Keeper of the Light</t>
  </si>
  <si>
    <t>Centaur Warrunner</t>
  </si>
  <si>
    <t>Primal Beast</t>
  </si>
  <si>
    <t>Medusa</t>
  </si>
  <si>
    <t>Tinker</t>
  </si>
  <si>
    <t>Ursa</t>
  </si>
  <si>
    <t>Slardar</t>
  </si>
  <si>
    <t>Marci</t>
  </si>
  <si>
    <t>Kunkka</t>
  </si>
  <si>
    <t>Earth Spirit</t>
  </si>
  <si>
    <t>Elder Titan</t>
  </si>
  <si>
    <t>Dark Seer</t>
  </si>
  <si>
    <t>Void Spirit</t>
  </si>
  <si>
    <t>Lycan</t>
  </si>
  <si>
    <t>Dark Willow</t>
  </si>
  <si>
    <t>Bane</t>
  </si>
  <si>
    <t>Venomancer</t>
  </si>
  <si>
    <t>Jakiro</t>
  </si>
  <si>
    <t>Lina</t>
  </si>
  <si>
    <t>Faceless Void</t>
  </si>
  <si>
    <t>Ember Spirit</t>
  </si>
  <si>
    <t>Ringmaster</t>
  </si>
  <si>
    <t>Underlord</t>
  </si>
  <si>
    <t>Death Prophet</t>
  </si>
  <si>
    <t>Naga Siren</t>
  </si>
  <si>
    <t>Doom</t>
  </si>
  <si>
    <t>Largo</t>
  </si>
  <si>
    <t>Queen of Pain</t>
  </si>
  <si>
    <t>Tusk</t>
  </si>
  <si>
    <t>Hoodwink</t>
  </si>
  <si>
    <t>Morphling</t>
  </si>
  <si>
    <t>Weaver</t>
  </si>
  <si>
    <t>Drow Ranger</t>
  </si>
  <si>
    <t>Enchantress</t>
  </si>
  <si>
    <t>Clockwerk</t>
  </si>
  <si>
    <t>Muerta</t>
  </si>
  <si>
    <t>Gyrocopter</t>
  </si>
  <si>
    <t>Mars</t>
  </si>
  <si>
    <t>Huskar</t>
  </si>
  <si>
    <t>Alchemist</t>
  </si>
  <si>
    <t>Puck</t>
  </si>
  <si>
    <t>Storm Spirit</t>
  </si>
  <si>
    <t>Pangolier</t>
  </si>
  <si>
    <t>Kez</t>
  </si>
  <si>
    <t>Chen</t>
  </si>
  <si>
    <t>Monkey King</t>
  </si>
  <si>
    <t>Templar Assassin</t>
  </si>
  <si>
    <t>Beastmaster</t>
  </si>
  <si>
    <t>Timbersaw</t>
  </si>
  <si>
    <t>Treant Protector</t>
  </si>
  <si>
    <t>Terrorblade</t>
  </si>
  <si>
    <t>Tiny</t>
  </si>
  <si>
    <t>Shadow Demon</t>
  </si>
  <si>
    <t>Batrider</t>
  </si>
  <si>
    <t>Shadow Fiend</t>
  </si>
  <si>
    <t>Nature's Prophet</t>
  </si>
  <si>
    <t>Связь пикрейта и винрейта за 7 дней и 12 месяцев</t>
  </si>
  <si>
    <t>Число героев</t>
  </si>
  <si>
    <t>Пикрейт и винрейт за 12 месяцев: Спирмен</t>
  </si>
  <si>
    <t>p (двустороннее t-приближение)</t>
  </si>
  <si>
    <t>Пикрейт и винрейт за 7 дней: Спирмен</t>
  </si>
  <si>
    <t>Разности «7 дней минус 12 месяцев»: Спирмен</t>
  </si>
  <si>
    <t>Средний пикрейт за 12 месяцев, %</t>
  </si>
  <si>
    <t>Медиана пикрейта за 12 месяцев, %</t>
  </si>
  <si>
    <t>Минимум пикрейта за 12 месяцев, %</t>
  </si>
  <si>
    <t>Максимум пикрейта за 12 месяцев, %</t>
  </si>
  <si>
    <t>Средний винрейт за 12 месяцев, %</t>
  </si>
  <si>
    <t>Средний пикрейт за 7 дней, %</t>
  </si>
  <si>
    <t>Медиана пикрейта за 7 дней, %</t>
  </si>
  <si>
    <t>Минимум пикрейта за 7 дней, %</t>
  </si>
  <si>
    <t>Максимум пикрейта за 7 дней, %</t>
  </si>
  <si>
    <t>Средний винрейт за 7 дней, %</t>
  </si>
  <si>
    <t>Разности PR и WR имеют одинаковый знак, героев</t>
  </si>
  <si>
    <t>Разности PR и WR имеют противоположные знаки, героев</t>
  </si>
  <si>
    <t>Хотя бы одна разность равна нулю, героев</t>
  </si>
  <si>
    <t>Средняя абсолютная разность пикрейта, п. 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</si>
</sst>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E+00"/>
  </numFmts>
  <fonts count="5">
    <font>
      <sz val="11"/>
      <name val="Carlito"/>
    </font>
    <font>
      <sz val="10"/>
      <name val="Arial"/>
    </font>
    <font>
      <b/>
      <sz val="10"/>
      <name val="Arial"/>
    </font>
    <font>
      <sz val="10"/>
      <color rgb="FF0000FF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1" applyFont="1"/>
    <xf numFmtId="0" fontId="2" fillId="2" borderId="0" xfId="1" applyFont="1" applyFill="1" applyAlignment="1">
      <alignment wrapText="1"/>
    </xf>
    <xf numFmtId="2" fontId="3" fillId="0" borderId="0" xfId="1" applyNumberFormat="1" applyFont="1"/>
    <xf numFmtId="2" fontId="1" fillId="0" borderId="0" xfId="1" applyNumberFormat="1" applyFont="1"/>
    <xf numFmtId="164" fontId="1" fillId="0" borderId="0" xfId="1" applyNumberFormat="1" applyFont="1"/>
    <xf numFmtId="0" fontId="2" fillId="0" borderId="0" xfId="1" applyFont="1"/>
    <xf numFmtId="165" fontId="1" fillId="0" borderId="0" xfId="1" applyNumberFormat="1" applyFont="1"/>
    <xf numFmtId="1" fontId="1" fillId="0" borderId="0" xfId="1" applyNumberFormat="1" applyFont="1"/>
    <xf numFmtId="166" fontId="1" fillId="0" borderId="0" xfId="1" applyNumberFormat="1" applyFont="1"/>
    <xf numFmtId="0" fontId="1" fillId="3" borderId="0" xfId="1" applyFont="1" applyFill="1"/>
    <xf numFmtId="165" fontId="1" fillId="3" borderId="0" xfId="1" applyNumberFormat="1" applyFont="1" applyFill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tabSelected="1" workbookViewId="0">
      <pane ySplit="1" topLeftCell="A269" activePane="bottomLeft" state="frozen"/>
      <selection pane="bottomLeft"/>
    </sheetView>
  </sheetViews>
  <sheetFormatPr defaultRowHeight="13.8"/>
  <cols>
    <col min="1" max="1" width="24" customWidth="1"/>
    <col min="2" max="5" width="15" customWidth="1"/>
    <col min="6" max="7" width="19" customWidth="1"/>
    <col min="8" max="13" width="15" customWidth="1"/>
  </cols>
  <sheetData>
    <row r="1" spans="1:13" ht="55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2.05" customHeight="1">
      <c r="A2" s="1" t="s">
        <v>13</v>
      </c>
      <c r="B2" s="3">
        <v>10.44</v>
      </c>
      <c r="C2" s="3">
        <v>52.83</v>
      </c>
      <c r="D2" s="3">
        <v>12.99</v>
      </c>
      <c r="E2" s="3">
        <v>53.27</v>
      </c>
      <c r="F2" s="4">
        <f t="shared" ref="F2:F33" si="0">ROUND(D2-B2,2)</f>
        <v>2.5499999999999998</v>
      </c>
      <c r="G2" s="4">
        <f t="shared" ref="G2:G33" si="1">ROUND(E2-C2,2)</f>
        <v>0.44</v>
      </c>
      <c r="H2" s="5">
        <f t="shared" ref="H2:H33" si="2">RANK(B2,B$2:B$128,1)+(COUNTIF(B$2:B$128,B2)-1)/2</f>
        <v>92</v>
      </c>
      <c r="I2" s="5">
        <f t="shared" ref="I2:I33" si="3">RANK(C2,C$2:C$128,1)+(COUNTIF(C$2:C$128,C2)-1)/2</f>
        <v>123</v>
      </c>
      <c r="J2" s="5">
        <f t="shared" ref="J2:J33" si="4">RANK(D2,D$2:D$128,1)+(COUNTIF(D$2:D$128,D2)-1)/2</f>
        <v>103</v>
      </c>
      <c r="K2" s="5">
        <f t="shared" ref="K2:K33" si="5">RANK(E2,E$2:E$128,1)+(COUNTIF(E$2:E$128,E2)-1)/2</f>
        <v>126</v>
      </c>
      <c r="L2" s="5">
        <f t="shared" ref="L2:L33" si="6">RANK(F2,F$2:F$128,1)+(COUNTIF(F$2:F$128,F2)-1)/2</f>
        <v>117.5</v>
      </c>
      <c r="M2" s="5">
        <f t="shared" ref="M2:M33" si="7">RANK(G2,G$2:G$128,1)+(COUNTIF(G$2:G$128,G2)-1)/2</f>
        <v>92</v>
      </c>
    </row>
    <row r="3" spans="1:13" ht="22.05" customHeight="1">
      <c r="A3" s="1" t="s">
        <v>14</v>
      </c>
      <c r="B3" s="3">
        <v>6.22</v>
      </c>
      <c r="C3" s="3">
        <v>51.73</v>
      </c>
      <c r="D3" s="3">
        <v>12.23</v>
      </c>
      <c r="E3" s="3">
        <v>53.25</v>
      </c>
      <c r="F3" s="4">
        <f t="shared" si="0"/>
        <v>6.01</v>
      </c>
      <c r="G3" s="4">
        <f t="shared" si="1"/>
        <v>1.52</v>
      </c>
      <c r="H3" s="5">
        <f t="shared" si="2"/>
        <v>63</v>
      </c>
      <c r="I3" s="5">
        <f t="shared" si="3"/>
        <v>112</v>
      </c>
      <c r="J3" s="5">
        <f t="shared" si="4"/>
        <v>99</v>
      </c>
      <c r="K3" s="5">
        <f t="shared" si="5"/>
        <v>125</v>
      </c>
      <c r="L3" s="5">
        <f t="shared" si="6"/>
        <v>126</v>
      </c>
      <c r="M3" s="5">
        <f t="shared" si="7"/>
        <v>126</v>
      </c>
    </row>
    <row r="4" spans="1:13" ht="22.05" customHeight="1">
      <c r="A4" s="1" t="s">
        <v>15</v>
      </c>
      <c r="B4" s="3">
        <v>11.19</v>
      </c>
      <c r="C4" s="3">
        <v>54.22</v>
      </c>
      <c r="D4" s="3">
        <v>12.47</v>
      </c>
      <c r="E4" s="3">
        <v>55.01</v>
      </c>
      <c r="F4" s="4">
        <f t="shared" si="0"/>
        <v>1.28</v>
      </c>
      <c r="G4" s="4">
        <f t="shared" si="1"/>
        <v>0.79</v>
      </c>
      <c r="H4" s="5">
        <f t="shared" si="2"/>
        <v>99</v>
      </c>
      <c r="I4" s="5">
        <f t="shared" si="3"/>
        <v>127</v>
      </c>
      <c r="J4" s="5">
        <f t="shared" si="4"/>
        <v>102</v>
      </c>
      <c r="K4" s="5">
        <f t="shared" si="5"/>
        <v>127</v>
      </c>
      <c r="L4" s="5">
        <f t="shared" si="6"/>
        <v>105.5</v>
      </c>
      <c r="M4" s="5">
        <f t="shared" si="7"/>
        <v>114</v>
      </c>
    </row>
    <row r="5" spans="1:13" ht="22.05" customHeight="1">
      <c r="A5" s="1" t="s">
        <v>16</v>
      </c>
      <c r="B5" s="3">
        <v>26.9</v>
      </c>
      <c r="C5" s="3">
        <v>51.28</v>
      </c>
      <c r="D5" s="3">
        <v>27.5</v>
      </c>
      <c r="E5" s="3">
        <v>51.21</v>
      </c>
      <c r="F5" s="4">
        <f t="shared" si="0"/>
        <v>0.6</v>
      </c>
      <c r="G5" s="4">
        <f t="shared" si="1"/>
        <v>-7.0000000000000007E-2</v>
      </c>
      <c r="H5" s="5">
        <f t="shared" si="2"/>
        <v>127</v>
      </c>
      <c r="I5" s="5">
        <f t="shared" si="3"/>
        <v>100</v>
      </c>
      <c r="J5" s="5">
        <f t="shared" si="4"/>
        <v>127</v>
      </c>
      <c r="K5" s="5">
        <f t="shared" si="5"/>
        <v>94</v>
      </c>
      <c r="L5" s="5">
        <f t="shared" si="6"/>
        <v>88</v>
      </c>
      <c r="M5" s="5">
        <f t="shared" si="7"/>
        <v>69</v>
      </c>
    </row>
    <row r="6" spans="1:13" ht="22.05" customHeight="1">
      <c r="A6" s="1" t="s">
        <v>17</v>
      </c>
      <c r="B6" s="3">
        <v>14.1</v>
      </c>
      <c r="C6" s="3">
        <v>51.72</v>
      </c>
      <c r="D6" s="3">
        <v>16.97</v>
      </c>
      <c r="E6" s="3">
        <v>52.37</v>
      </c>
      <c r="F6" s="4">
        <f t="shared" si="0"/>
        <v>2.87</v>
      </c>
      <c r="G6" s="4">
        <f t="shared" si="1"/>
        <v>0.65</v>
      </c>
      <c r="H6" s="5">
        <f t="shared" si="2"/>
        <v>112</v>
      </c>
      <c r="I6" s="5">
        <f t="shared" si="3"/>
        <v>111</v>
      </c>
      <c r="J6" s="5">
        <f t="shared" si="4"/>
        <v>120</v>
      </c>
      <c r="K6" s="5">
        <f t="shared" si="5"/>
        <v>116</v>
      </c>
      <c r="L6" s="5">
        <f t="shared" si="6"/>
        <v>119</v>
      </c>
      <c r="M6" s="5">
        <f t="shared" si="7"/>
        <v>108.5</v>
      </c>
    </row>
    <row r="7" spans="1:13" ht="22.05" customHeight="1">
      <c r="A7" s="1" t="s">
        <v>18</v>
      </c>
      <c r="B7" s="3">
        <v>15.22</v>
      </c>
      <c r="C7" s="3">
        <v>52.88</v>
      </c>
      <c r="D7" s="3">
        <v>15.48</v>
      </c>
      <c r="E7" s="3">
        <v>52.67</v>
      </c>
      <c r="F7" s="4">
        <f t="shared" si="0"/>
        <v>0.26</v>
      </c>
      <c r="G7" s="4">
        <f t="shared" si="1"/>
        <v>-0.21</v>
      </c>
      <c r="H7" s="5">
        <f t="shared" si="2"/>
        <v>116</v>
      </c>
      <c r="I7" s="5">
        <f t="shared" si="3"/>
        <v>124</v>
      </c>
      <c r="J7" s="5">
        <f t="shared" si="4"/>
        <v>113</v>
      </c>
      <c r="K7" s="5">
        <f t="shared" si="5"/>
        <v>118</v>
      </c>
      <c r="L7" s="5">
        <f t="shared" si="6"/>
        <v>80</v>
      </c>
      <c r="M7" s="5">
        <f t="shared" si="7"/>
        <v>60</v>
      </c>
    </row>
    <row r="8" spans="1:13" ht="22.05" customHeight="1">
      <c r="A8" s="1" t="s">
        <v>19</v>
      </c>
      <c r="B8" s="3">
        <v>9.91</v>
      </c>
      <c r="C8" s="3">
        <v>53.7</v>
      </c>
      <c r="D8" s="3">
        <v>9.74</v>
      </c>
      <c r="E8" s="3">
        <v>52.97</v>
      </c>
      <c r="F8" s="4">
        <f t="shared" si="0"/>
        <v>-0.17</v>
      </c>
      <c r="G8" s="4">
        <f t="shared" si="1"/>
        <v>-0.73</v>
      </c>
      <c r="H8" s="5">
        <f t="shared" si="2"/>
        <v>89</v>
      </c>
      <c r="I8" s="5">
        <f t="shared" si="3"/>
        <v>126</v>
      </c>
      <c r="J8" s="5">
        <f t="shared" si="4"/>
        <v>89</v>
      </c>
      <c r="K8" s="5">
        <f t="shared" si="5"/>
        <v>122.5</v>
      </c>
      <c r="L8" s="5">
        <f t="shared" si="6"/>
        <v>61.5</v>
      </c>
      <c r="M8" s="5">
        <f t="shared" si="7"/>
        <v>38</v>
      </c>
    </row>
    <row r="9" spans="1:13" ht="22.05" customHeight="1">
      <c r="A9" s="1" t="s">
        <v>20</v>
      </c>
      <c r="B9" s="3">
        <v>7.19</v>
      </c>
      <c r="C9" s="3">
        <v>49.73</v>
      </c>
      <c r="D9" s="3">
        <v>14.5</v>
      </c>
      <c r="E9" s="3">
        <v>52.89</v>
      </c>
      <c r="F9" s="4">
        <f t="shared" si="0"/>
        <v>7.31</v>
      </c>
      <c r="G9" s="4">
        <f t="shared" si="1"/>
        <v>3.16</v>
      </c>
      <c r="H9" s="5">
        <f t="shared" si="2"/>
        <v>76</v>
      </c>
      <c r="I9" s="5">
        <f t="shared" si="3"/>
        <v>59</v>
      </c>
      <c r="J9" s="5">
        <f t="shared" si="4"/>
        <v>109</v>
      </c>
      <c r="K9" s="5">
        <f t="shared" si="5"/>
        <v>121</v>
      </c>
      <c r="L9" s="5">
        <f t="shared" si="6"/>
        <v>127</v>
      </c>
      <c r="M9" s="5">
        <f t="shared" si="7"/>
        <v>127</v>
      </c>
    </row>
    <row r="10" spans="1:13" ht="22.05" customHeight="1">
      <c r="A10" s="1" t="s">
        <v>21</v>
      </c>
      <c r="B10" s="3">
        <v>2.2200000000000002</v>
      </c>
      <c r="C10" s="3">
        <v>52.36</v>
      </c>
      <c r="D10" s="3">
        <v>2.04</v>
      </c>
      <c r="E10" s="3">
        <v>52.97</v>
      </c>
      <c r="F10" s="4">
        <f t="shared" si="0"/>
        <v>-0.18</v>
      </c>
      <c r="G10" s="4">
        <f t="shared" si="1"/>
        <v>0.61</v>
      </c>
      <c r="H10" s="5">
        <f t="shared" si="2"/>
        <v>8</v>
      </c>
      <c r="I10" s="5">
        <f t="shared" si="3"/>
        <v>121</v>
      </c>
      <c r="J10" s="5">
        <f t="shared" si="4"/>
        <v>8</v>
      </c>
      <c r="K10" s="5">
        <f t="shared" si="5"/>
        <v>122.5</v>
      </c>
      <c r="L10" s="5">
        <f t="shared" si="6"/>
        <v>59</v>
      </c>
      <c r="M10" s="5">
        <f t="shared" si="7"/>
        <v>105.5</v>
      </c>
    </row>
    <row r="11" spans="1:13" ht="22.05" customHeight="1">
      <c r="A11" s="1" t="s">
        <v>22</v>
      </c>
      <c r="B11" s="3">
        <v>16.149999999999999</v>
      </c>
      <c r="C11" s="3">
        <v>52.25</v>
      </c>
      <c r="D11" s="3">
        <v>17.14</v>
      </c>
      <c r="E11" s="3">
        <v>52.49</v>
      </c>
      <c r="F11" s="4">
        <f t="shared" si="0"/>
        <v>0.99</v>
      </c>
      <c r="G11" s="4">
        <f t="shared" si="1"/>
        <v>0.24</v>
      </c>
      <c r="H11" s="5">
        <f t="shared" si="2"/>
        <v>119</v>
      </c>
      <c r="I11" s="5">
        <f t="shared" si="3"/>
        <v>120</v>
      </c>
      <c r="J11" s="5">
        <f t="shared" si="4"/>
        <v>122</v>
      </c>
      <c r="K11" s="5">
        <f t="shared" si="5"/>
        <v>117</v>
      </c>
      <c r="L11" s="5">
        <f t="shared" si="6"/>
        <v>98</v>
      </c>
      <c r="M11" s="5">
        <f t="shared" si="7"/>
        <v>84.5</v>
      </c>
    </row>
    <row r="12" spans="1:13" ht="22.05" customHeight="1">
      <c r="A12" s="1" t="s">
        <v>23</v>
      </c>
      <c r="B12" s="3">
        <v>13.63</v>
      </c>
      <c r="C12" s="3">
        <v>50.24</v>
      </c>
      <c r="D12" s="3">
        <v>16.88</v>
      </c>
      <c r="E12" s="3">
        <v>51.22</v>
      </c>
      <c r="F12" s="4">
        <f t="shared" si="0"/>
        <v>3.25</v>
      </c>
      <c r="G12" s="4">
        <f t="shared" si="1"/>
        <v>0.98</v>
      </c>
      <c r="H12" s="5">
        <f t="shared" si="2"/>
        <v>109</v>
      </c>
      <c r="I12" s="5">
        <f t="shared" si="3"/>
        <v>75</v>
      </c>
      <c r="J12" s="5">
        <f t="shared" si="4"/>
        <v>119</v>
      </c>
      <c r="K12" s="5">
        <f t="shared" si="5"/>
        <v>95</v>
      </c>
      <c r="L12" s="5">
        <f t="shared" si="6"/>
        <v>121</v>
      </c>
      <c r="M12" s="5">
        <f t="shared" si="7"/>
        <v>117</v>
      </c>
    </row>
    <row r="13" spans="1:13" ht="22.05" customHeight="1">
      <c r="A13" s="1" t="s">
        <v>24</v>
      </c>
      <c r="B13" s="3">
        <v>16.73</v>
      </c>
      <c r="C13" s="3">
        <v>52.09</v>
      </c>
      <c r="D13" s="3">
        <v>17.09</v>
      </c>
      <c r="E13" s="3">
        <v>52.11</v>
      </c>
      <c r="F13" s="4">
        <f t="shared" si="0"/>
        <v>0.36</v>
      </c>
      <c r="G13" s="4">
        <f t="shared" si="1"/>
        <v>0.02</v>
      </c>
      <c r="H13" s="5">
        <f t="shared" si="2"/>
        <v>121</v>
      </c>
      <c r="I13" s="5">
        <f t="shared" si="3"/>
        <v>117</v>
      </c>
      <c r="J13" s="5">
        <f t="shared" si="4"/>
        <v>121</v>
      </c>
      <c r="K13" s="5">
        <f t="shared" si="5"/>
        <v>111</v>
      </c>
      <c r="L13" s="5">
        <f t="shared" si="6"/>
        <v>82</v>
      </c>
      <c r="M13" s="5">
        <f t="shared" si="7"/>
        <v>74</v>
      </c>
    </row>
    <row r="14" spans="1:13" ht="22.05" customHeight="1">
      <c r="A14" s="1" t="s">
        <v>25</v>
      </c>
      <c r="B14" s="3">
        <v>6.69</v>
      </c>
      <c r="C14" s="3">
        <v>52.22</v>
      </c>
      <c r="D14" s="3">
        <v>10.039999999999999</v>
      </c>
      <c r="E14" s="3">
        <v>52.72</v>
      </c>
      <c r="F14" s="4">
        <f t="shared" si="0"/>
        <v>3.35</v>
      </c>
      <c r="G14" s="4">
        <f t="shared" si="1"/>
        <v>0.5</v>
      </c>
      <c r="H14" s="5">
        <f t="shared" si="2"/>
        <v>68.5</v>
      </c>
      <c r="I14" s="5">
        <f t="shared" si="3"/>
        <v>119</v>
      </c>
      <c r="J14" s="5">
        <f t="shared" si="4"/>
        <v>90</v>
      </c>
      <c r="K14" s="5">
        <f t="shared" si="5"/>
        <v>119</v>
      </c>
      <c r="L14" s="5">
        <f t="shared" si="6"/>
        <v>122</v>
      </c>
      <c r="M14" s="5">
        <f t="shared" si="7"/>
        <v>95.5</v>
      </c>
    </row>
    <row r="15" spans="1:13" ht="22.05" customHeight="1">
      <c r="A15" s="1" t="s">
        <v>26</v>
      </c>
      <c r="B15" s="3">
        <v>5.24</v>
      </c>
      <c r="C15" s="3">
        <v>51.82</v>
      </c>
      <c r="D15" s="3">
        <v>5.62</v>
      </c>
      <c r="E15" s="3">
        <v>53.01</v>
      </c>
      <c r="F15" s="4">
        <f t="shared" si="0"/>
        <v>0.38</v>
      </c>
      <c r="G15" s="4">
        <f t="shared" si="1"/>
        <v>1.19</v>
      </c>
      <c r="H15" s="5">
        <f t="shared" si="2"/>
        <v>49</v>
      </c>
      <c r="I15" s="5">
        <f t="shared" si="3"/>
        <v>113</v>
      </c>
      <c r="J15" s="5">
        <f t="shared" si="4"/>
        <v>58</v>
      </c>
      <c r="K15" s="5">
        <f t="shared" si="5"/>
        <v>124</v>
      </c>
      <c r="L15" s="5">
        <f t="shared" si="6"/>
        <v>83</v>
      </c>
      <c r="M15" s="5">
        <f t="shared" si="7"/>
        <v>120</v>
      </c>
    </row>
    <row r="16" spans="1:13" ht="22.05" customHeight="1">
      <c r="A16" s="1" t="s">
        <v>27</v>
      </c>
      <c r="B16" s="3">
        <v>11.09</v>
      </c>
      <c r="C16" s="3">
        <v>52.04</v>
      </c>
      <c r="D16" s="3">
        <v>13.64</v>
      </c>
      <c r="E16" s="3">
        <v>51.33</v>
      </c>
      <c r="F16" s="4">
        <f t="shared" si="0"/>
        <v>2.5499999999999998</v>
      </c>
      <c r="G16" s="4">
        <f t="shared" si="1"/>
        <v>-0.71</v>
      </c>
      <c r="H16" s="5">
        <f t="shared" si="2"/>
        <v>98</v>
      </c>
      <c r="I16" s="5">
        <f t="shared" si="3"/>
        <v>116</v>
      </c>
      <c r="J16" s="5">
        <f t="shared" si="4"/>
        <v>106</v>
      </c>
      <c r="K16" s="5">
        <f t="shared" si="5"/>
        <v>97</v>
      </c>
      <c r="L16" s="5">
        <f t="shared" si="6"/>
        <v>117.5</v>
      </c>
      <c r="M16" s="5">
        <f t="shared" si="7"/>
        <v>39</v>
      </c>
    </row>
    <row r="17" spans="1:13" ht="22.05" customHeight="1">
      <c r="A17" s="1" t="s">
        <v>28</v>
      </c>
      <c r="B17" s="3">
        <v>4.18</v>
      </c>
      <c r="C17" s="3">
        <v>50.92</v>
      </c>
      <c r="D17" s="3">
        <v>5.67</v>
      </c>
      <c r="E17" s="3">
        <v>51.62</v>
      </c>
      <c r="F17" s="4">
        <f t="shared" si="0"/>
        <v>1.49</v>
      </c>
      <c r="G17" s="4">
        <f t="shared" si="1"/>
        <v>0.7</v>
      </c>
      <c r="H17" s="5">
        <f t="shared" si="2"/>
        <v>27.5</v>
      </c>
      <c r="I17" s="5">
        <f t="shared" si="3"/>
        <v>90</v>
      </c>
      <c r="J17" s="5">
        <f t="shared" si="4"/>
        <v>59</v>
      </c>
      <c r="K17" s="5">
        <f t="shared" si="5"/>
        <v>102</v>
      </c>
      <c r="L17" s="5">
        <f t="shared" si="6"/>
        <v>108</v>
      </c>
      <c r="M17" s="5">
        <f t="shared" si="7"/>
        <v>110</v>
      </c>
    </row>
    <row r="18" spans="1:13" ht="22.05" customHeight="1">
      <c r="A18" s="1" t="s">
        <v>29</v>
      </c>
      <c r="B18" s="3">
        <v>14.84</v>
      </c>
      <c r="C18" s="3">
        <v>51.84</v>
      </c>
      <c r="D18" s="3">
        <v>15.07</v>
      </c>
      <c r="E18" s="3">
        <v>51.67</v>
      </c>
      <c r="F18" s="4">
        <f t="shared" si="0"/>
        <v>0.23</v>
      </c>
      <c r="G18" s="4">
        <f t="shared" si="1"/>
        <v>-0.17</v>
      </c>
      <c r="H18" s="5">
        <f t="shared" si="2"/>
        <v>115</v>
      </c>
      <c r="I18" s="5">
        <f t="shared" si="3"/>
        <v>114</v>
      </c>
      <c r="J18" s="5">
        <f t="shared" si="4"/>
        <v>111</v>
      </c>
      <c r="K18" s="5">
        <f t="shared" si="5"/>
        <v>104</v>
      </c>
      <c r="L18" s="5">
        <f t="shared" si="6"/>
        <v>79</v>
      </c>
      <c r="M18" s="5">
        <f t="shared" si="7"/>
        <v>63</v>
      </c>
    </row>
    <row r="19" spans="1:13" ht="22.05" customHeight="1">
      <c r="A19" s="1" t="s">
        <v>30</v>
      </c>
      <c r="B19" s="3">
        <v>11.68</v>
      </c>
      <c r="C19" s="3">
        <v>52.59</v>
      </c>
      <c r="D19" s="3">
        <v>11.1</v>
      </c>
      <c r="E19" s="3">
        <v>52.33</v>
      </c>
      <c r="F19" s="4">
        <f t="shared" si="0"/>
        <v>-0.57999999999999996</v>
      </c>
      <c r="G19" s="4">
        <f t="shared" si="1"/>
        <v>-0.26</v>
      </c>
      <c r="H19" s="5">
        <f t="shared" si="2"/>
        <v>103</v>
      </c>
      <c r="I19" s="5">
        <f t="shared" si="3"/>
        <v>122</v>
      </c>
      <c r="J19" s="5">
        <f t="shared" si="4"/>
        <v>94</v>
      </c>
      <c r="K19" s="5">
        <f t="shared" si="5"/>
        <v>114</v>
      </c>
      <c r="L19" s="5">
        <f t="shared" si="6"/>
        <v>45</v>
      </c>
      <c r="M19" s="5">
        <f t="shared" si="7"/>
        <v>58</v>
      </c>
    </row>
    <row r="20" spans="1:13" ht="22.05" customHeight="1">
      <c r="A20" s="1" t="s">
        <v>31</v>
      </c>
      <c r="B20" s="3">
        <v>6.06</v>
      </c>
      <c r="C20" s="3">
        <v>51.57</v>
      </c>
      <c r="D20" s="3">
        <v>6.84</v>
      </c>
      <c r="E20" s="3">
        <v>52.35</v>
      </c>
      <c r="F20" s="4">
        <f t="shared" si="0"/>
        <v>0.78</v>
      </c>
      <c r="G20" s="4">
        <f t="shared" si="1"/>
        <v>0.78</v>
      </c>
      <c r="H20" s="5">
        <f t="shared" si="2"/>
        <v>61</v>
      </c>
      <c r="I20" s="5">
        <f t="shared" si="3"/>
        <v>105</v>
      </c>
      <c r="J20" s="5">
        <f t="shared" si="4"/>
        <v>71</v>
      </c>
      <c r="K20" s="5">
        <f t="shared" si="5"/>
        <v>115</v>
      </c>
      <c r="L20" s="5">
        <f t="shared" si="6"/>
        <v>94.5</v>
      </c>
      <c r="M20" s="5">
        <f t="shared" si="7"/>
        <v>113</v>
      </c>
    </row>
    <row r="21" spans="1:13" ht="22.05" customHeight="1">
      <c r="A21" s="1" t="s">
        <v>32</v>
      </c>
      <c r="B21" s="3">
        <v>8.32</v>
      </c>
      <c r="C21" s="3">
        <v>51.67</v>
      </c>
      <c r="D21" s="3">
        <v>9.36</v>
      </c>
      <c r="E21" s="3">
        <v>52.24</v>
      </c>
      <c r="F21" s="4">
        <f t="shared" si="0"/>
        <v>1.04</v>
      </c>
      <c r="G21" s="4">
        <f t="shared" si="1"/>
        <v>0.56999999999999995</v>
      </c>
      <c r="H21" s="5">
        <f t="shared" si="2"/>
        <v>81</v>
      </c>
      <c r="I21" s="5">
        <f t="shared" si="3"/>
        <v>110</v>
      </c>
      <c r="J21" s="5">
        <f t="shared" si="4"/>
        <v>87</v>
      </c>
      <c r="K21" s="5">
        <f t="shared" si="5"/>
        <v>112</v>
      </c>
      <c r="L21" s="5">
        <f t="shared" si="6"/>
        <v>102.5</v>
      </c>
      <c r="M21" s="5">
        <f t="shared" si="7"/>
        <v>101.5</v>
      </c>
    </row>
    <row r="22" spans="1:13" ht="22.05" customHeight="1">
      <c r="A22" s="1" t="s">
        <v>33</v>
      </c>
      <c r="B22" s="3">
        <v>1.95</v>
      </c>
      <c r="C22" s="3">
        <v>52.21</v>
      </c>
      <c r="D22" s="3">
        <v>1.96</v>
      </c>
      <c r="E22" s="3">
        <v>52.86</v>
      </c>
      <c r="F22" s="4">
        <f t="shared" si="0"/>
        <v>0.01</v>
      </c>
      <c r="G22" s="4">
        <f t="shared" si="1"/>
        <v>0.65</v>
      </c>
      <c r="H22" s="5">
        <f t="shared" si="2"/>
        <v>5.5</v>
      </c>
      <c r="I22" s="5">
        <f t="shared" si="3"/>
        <v>118</v>
      </c>
      <c r="J22" s="5">
        <f t="shared" si="4"/>
        <v>7</v>
      </c>
      <c r="K22" s="5">
        <f t="shared" si="5"/>
        <v>120</v>
      </c>
      <c r="L22" s="5">
        <f t="shared" si="6"/>
        <v>69</v>
      </c>
      <c r="M22" s="5">
        <f t="shared" si="7"/>
        <v>108.5</v>
      </c>
    </row>
    <row r="23" spans="1:13" ht="22.05" customHeight="1">
      <c r="A23" s="1" t="s">
        <v>34</v>
      </c>
      <c r="B23" s="3">
        <v>17.82</v>
      </c>
      <c r="C23" s="3">
        <v>51.66</v>
      </c>
      <c r="D23" s="3">
        <v>16.45</v>
      </c>
      <c r="E23" s="3">
        <v>50.55</v>
      </c>
      <c r="F23" s="4">
        <f t="shared" si="0"/>
        <v>-1.37</v>
      </c>
      <c r="G23" s="4">
        <f t="shared" si="1"/>
        <v>-1.1100000000000001</v>
      </c>
      <c r="H23" s="5">
        <f t="shared" si="2"/>
        <v>122</v>
      </c>
      <c r="I23" s="5">
        <f t="shared" si="3"/>
        <v>109</v>
      </c>
      <c r="J23" s="5">
        <f t="shared" si="4"/>
        <v>116</v>
      </c>
      <c r="K23" s="5">
        <f t="shared" si="5"/>
        <v>82.5</v>
      </c>
      <c r="L23" s="5">
        <f t="shared" si="6"/>
        <v>25</v>
      </c>
      <c r="M23" s="5">
        <f t="shared" si="7"/>
        <v>18</v>
      </c>
    </row>
    <row r="24" spans="1:13" ht="22.05" customHeight="1">
      <c r="A24" s="1" t="s">
        <v>35</v>
      </c>
      <c r="B24" s="3">
        <v>9.2200000000000006</v>
      </c>
      <c r="C24" s="3">
        <v>52.94</v>
      </c>
      <c r="D24" s="3">
        <v>9.2899999999999991</v>
      </c>
      <c r="E24" s="3">
        <v>52.3</v>
      </c>
      <c r="F24" s="4">
        <f t="shared" si="0"/>
        <v>7.0000000000000007E-2</v>
      </c>
      <c r="G24" s="4">
        <f t="shared" si="1"/>
        <v>-0.64</v>
      </c>
      <c r="H24" s="5">
        <f t="shared" si="2"/>
        <v>87</v>
      </c>
      <c r="I24" s="5">
        <f t="shared" si="3"/>
        <v>125</v>
      </c>
      <c r="J24" s="5">
        <f t="shared" si="4"/>
        <v>86</v>
      </c>
      <c r="K24" s="5">
        <f t="shared" si="5"/>
        <v>113</v>
      </c>
      <c r="L24" s="5">
        <f t="shared" si="6"/>
        <v>73</v>
      </c>
      <c r="M24" s="5">
        <f t="shared" si="7"/>
        <v>41</v>
      </c>
    </row>
    <row r="25" spans="1:13" ht="22.05" customHeight="1">
      <c r="A25" s="1" t="s">
        <v>36</v>
      </c>
      <c r="B25" s="3">
        <v>14.74</v>
      </c>
      <c r="C25" s="3">
        <v>51.91</v>
      </c>
      <c r="D25" s="3">
        <v>14.57</v>
      </c>
      <c r="E25" s="3">
        <v>50.85</v>
      </c>
      <c r="F25" s="4">
        <f t="shared" si="0"/>
        <v>-0.17</v>
      </c>
      <c r="G25" s="4">
        <f t="shared" si="1"/>
        <v>-1.06</v>
      </c>
      <c r="H25" s="5">
        <f t="shared" si="2"/>
        <v>114</v>
      </c>
      <c r="I25" s="5">
        <f t="shared" si="3"/>
        <v>115</v>
      </c>
      <c r="J25" s="5">
        <f t="shared" si="4"/>
        <v>110</v>
      </c>
      <c r="K25" s="5">
        <f t="shared" si="5"/>
        <v>88</v>
      </c>
      <c r="L25" s="5">
        <f t="shared" si="6"/>
        <v>61.5</v>
      </c>
      <c r="M25" s="5">
        <f t="shared" si="7"/>
        <v>21</v>
      </c>
    </row>
    <row r="26" spans="1:13" ht="22.05" customHeight="1">
      <c r="A26" s="1" t="s">
        <v>37</v>
      </c>
      <c r="B26" s="3">
        <v>11.8</v>
      </c>
      <c r="C26" s="3">
        <v>50.07</v>
      </c>
      <c r="D26" s="3">
        <v>15.86</v>
      </c>
      <c r="E26" s="3">
        <v>50.93</v>
      </c>
      <c r="F26" s="4">
        <f t="shared" si="0"/>
        <v>4.0599999999999996</v>
      </c>
      <c r="G26" s="4">
        <f t="shared" si="1"/>
        <v>0.86</v>
      </c>
      <c r="H26" s="5">
        <f t="shared" si="2"/>
        <v>104</v>
      </c>
      <c r="I26" s="5">
        <f t="shared" si="3"/>
        <v>71</v>
      </c>
      <c r="J26" s="5">
        <f t="shared" si="4"/>
        <v>114</v>
      </c>
      <c r="K26" s="5">
        <f t="shared" si="5"/>
        <v>90</v>
      </c>
      <c r="L26" s="5">
        <f t="shared" si="6"/>
        <v>125</v>
      </c>
      <c r="M26" s="5">
        <f t="shared" si="7"/>
        <v>116</v>
      </c>
    </row>
    <row r="27" spans="1:13" ht="22.05" customHeight="1">
      <c r="A27" s="1" t="s">
        <v>38</v>
      </c>
      <c r="B27" s="3">
        <v>12.77</v>
      </c>
      <c r="C27" s="3">
        <v>50.01</v>
      </c>
      <c r="D27" s="3">
        <v>13.06</v>
      </c>
      <c r="E27" s="3">
        <v>51.38</v>
      </c>
      <c r="F27" s="4">
        <f t="shared" si="0"/>
        <v>0.28999999999999998</v>
      </c>
      <c r="G27" s="4">
        <f t="shared" si="1"/>
        <v>1.37</v>
      </c>
      <c r="H27" s="5">
        <f t="shared" si="2"/>
        <v>106</v>
      </c>
      <c r="I27" s="5">
        <f t="shared" si="3"/>
        <v>65.5</v>
      </c>
      <c r="J27" s="5">
        <f t="shared" si="4"/>
        <v>104</v>
      </c>
      <c r="K27" s="5">
        <f t="shared" si="5"/>
        <v>99</v>
      </c>
      <c r="L27" s="5">
        <f t="shared" si="6"/>
        <v>81</v>
      </c>
      <c r="M27" s="5">
        <f t="shared" si="7"/>
        <v>124</v>
      </c>
    </row>
    <row r="28" spans="1:13" ht="22.05" customHeight="1">
      <c r="A28" s="1" t="s">
        <v>39</v>
      </c>
      <c r="B28" s="3">
        <v>6.41</v>
      </c>
      <c r="C28" s="3">
        <v>51.63</v>
      </c>
      <c r="D28" s="3">
        <v>7.61</v>
      </c>
      <c r="E28" s="3">
        <v>51.68</v>
      </c>
      <c r="F28" s="4">
        <f t="shared" si="0"/>
        <v>1.2</v>
      </c>
      <c r="G28" s="4">
        <f t="shared" si="1"/>
        <v>0.05</v>
      </c>
      <c r="H28" s="5">
        <f t="shared" si="2"/>
        <v>64</v>
      </c>
      <c r="I28" s="5">
        <f t="shared" si="3"/>
        <v>106.5</v>
      </c>
      <c r="J28" s="5">
        <f t="shared" si="4"/>
        <v>78</v>
      </c>
      <c r="K28" s="5">
        <f t="shared" si="5"/>
        <v>105</v>
      </c>
      <c r="L28" s="5">
        <f t="shared" si="6"/>
        <v>104</v>
      </c>
      <c r="M28" s="5">
        <f t="shared" si="7"/>
        <v>75</v>
      </c>
    </row>
    <row r="29" spans="1:13" ht="22.05" customHeight="1">
      <c r="A29" s="1" t="s">
        <v>40</v>
      </c>
      <c r="B29" s="3">
        <v>19.29</v>
      </c>
      <c r="C29" s="3">
        <v>50.44</v>
      </c>
      <c r="D29" s="3">
        <v>19.010000000000002</v>
      </c>
      <c r="E29" s="3">
        <v>50.59</v>
      </c>
      <c r="F29" s="4">
        <f t="shared" si="0"/>
        <v>-0.28000000000000003</v>
      </c>
      <c r="G29" s="4">
        <f t="shared" si="1"/>
        <v>0.15</v>
      </c>
      <c r="H29" s="5">
        <f t="shared" si="2"/>
        <v>125</v>
      </c>
      <c r="I29" s="5">
        <f t="shared" si="3"/>
        <v>80</v>
      </c>
      <c r="J29" s="5">
        <f t="shared" si="4"/>
        <v>124</v>
      </c>
      <c r="K29" s="5">
        <f t="shared" si="5"/>
        <v>84</v>
      </c>
      <c r="L29" s="5">
        <f t="shared" si="6"/>
        <v>53.5</v>
      </c>
      <c r="M29" s="5">
        <f t="shared" si="7"/>
        <v>80</v>
      </c>
    </row>
    <row r="30" spans="1:13" ht="22.05" customHeight="1">
      <c r="A30" s="1" t="s">
        <v>41</v>
      </c>
      <c r="B30" s="3">
        <v>11.42</v>
      </c>
      <c r="C30" s="3">
        <v>51.08</v>
      </c>
      <c r="D30" s="3">
        <v>13.74</v>
      </c>
      <c r="E30" s="3">
        <v>51.61</v>
      </c>
      <c r="F30" s="4">
        <f t="shared" si="0"/>
        <v>2.3199999999999998</v>
      </c>
      <c r="G30" s="4">
        <f t="shared" si="1"/>
        <v>0.53</v>
      </c>
      <c r="H30" s="5">
        <f t="shared" si="2"/>
        <v>101</v>
      </c>
      <c r="I30" s="5">
        <f t="shared" si="3"/>
        <v>95</v>
      </c>
      <c r="J30" s="5">
        <f t="shared" si="4"/>
        <v>107</v>
      </c>
      <c r="K30" s="5">
        <f t="shared" si="5"/>
        <v>101</v>
      </c>
      <c r="L30" s="5">
        <f t="shared" si="6"/>
        <v>116</v>
      </c>
      <c r="M30" s="5">
        <f t="shared" si="7"/>
        <v>98</v>
      </c>
    </row>
    <row r="31" spans="1:13" ht="22.05" customHeight="1">
      <c r="A31" s="1" t="s">
        <v>42</v>
      </c>
      <c r="B31" s="3">
        <v>5.61</v>
      </c>
      <c r="C31" s="3">
        <v>51.13</v>
      </c>
      <c r="D31" s="3">
        <v>7.58</v>
      </c>
      <c r="E31" s="3">
        <v>51.96</v>
      </c>
      <c r="F31" s="4">
        <f t="shared" si="0"/>
        <v>1.97</v>
      </c>
      <c r="G31" s="4">
        <f t="shared" si="1"/>
        <v>0.83</v>
      </c>
      <c r="H31" s="5">
        <f t="shared" si="2"/>
        <v>54.5</v>
      </c>
      <c r="I31" s="5">
        <f t="shared" si="3"/>
        <v>96</v>
      </c>
      <c r="J31" s="5">
        <f t="shared" si="4"/>
        <v>75</v>
      </c>
      <c r="K31" s="5">
        <f t="shared" si="5"/>
        <v>109</v>
      </c>
      <c r="L31" s="5">
        <f t="shared" si="6"/>
        <v>111</v>
      </c>
      <c r="M31" s="5">
        <f t="shared" si="7"/>
        <v>115</v>
      </c>
    </row>
    <row r="32" spans="1:13" ht="22.05" customHeight="1">
      <c r="A32" s="1" t="s">
        <v>43</v>
      </c>
      <c r="B32" s="3">
        <v>8.02</v>
      </c>
      <c r="C32" s="3">
        <v>51.16</v>
      </c>
      <c r="D32" s="3">
        <v>10.32</v>
      </c>
      <c r="E32" s="3">
        <v>51.64</v>
      </c>
      <c r="F32" s="4">
        <f t="shared" si="0"/>
        <v>2.2999999999999998</v>
      </c>
      <c r="G32" s="4">
        <f t="shared" si="1"/>
        <v>0.48</v>
      </c>
      <c r="H32" s="5">
        <f t="shared" si="2"/>
        <v>79</v>
      </c>
      <c r="I32" s="5">
        <f t="shared" si="3"/>
        <v>97.5</v>
      </c>
      <c r="J32" s="5">
        <f t="shared" si="4"/>
        <v>91</v>
      </c>
      <c r="K32" s="5">
        <f t="shared" si="5"/>
        <v>103</v>
      </c>
      <c r="L32" s="5">
        <f t="shared" si="6"/>
        <v>115</v>
      </c>
      <c r="M32" s="5">
        <f t="shared" si="7"/>
        <v>94</v>
      </c>
    </row>
    <row r="33" spans="1:13" ht="22.05" customHeight="1">
      <c r="A33" s="1" t="s">
        <v>44</v>
      </c>
      <c r="B33" s="3">
        <v>19</v>
      </c>
      <c r="C33" s="3">
        <v>49.3</v>
      </c>
      <c r="D33" s="3">
        <v>18.43</v>
      </c>
      <c r="E33" s="3">
        <v>49.67</v>
      </c>
      <c r="F33" s="4">
        <f t="shared" si="0"/>
        <v>-0.56999999999999995</v>
      </c>
      <c r="G33" s="4">
        <f t="shared" si="1"/>
        <v>0.37</v>
      </c>
      <c r="H33" s="5">
        <f t="shared" si="2"/>
        <v>124</v>
      </c>
      <c r="I33" s="5">
        <f t="shared" si="3"/>
        <v>46</v>
      </c>
      <c r="J33" s="5">
        <f t="shared" si="4"/>
        <v>123</v>
      </c>
      <c r="K33" s="5">
        <f t="shared" si="5"/>
        <v>67</v>
      </c>
      <c r="L33" s="5">
        <f t="shared" si="6"/>
        <v>46</v>
      </c>
      <c r="M33" s="5">
        <f t="shared" si="7"/>
        <v>90.5</v>
      </c>
    </row>
    <row r="34" spans="1:13" ht="22.05" customHeight="1">
      <c r="A34" s="1" t="s">
        <v>45</v>
      </c>
      <c r="B34" s="3">
        <v>6.69</v>
      </c>
      <c r="C34" s="3">
        <v>50.03</v>
      </c>
      <c r="D34" s="3">
        <v>10.73</v>
      </c>
      <c r="E34" s="3">
        <v>51.41</v>
      </c>
      <c r="F34" s="4">
        <f t="shared" ref="F34:F65" si="8">ROUND(D34-B34,2)</f>
        <v>4.04</v>
      </c>
      <c r="G34" s="4">
        <f t="shared" ref="G34:G65" si="9">ROUND(E34-C34,2)</f>
        <v>1.38</v>
      </c>
      <c r="H34" s="5">
        <f t="shared" ref="H34:H65" si="10">RANK(B34,B$2:B$128,1)+(COUNTIF(B$2:B$128,B34)-1)/2</f>
        <v>68.5</v>
      </c>
      <c r="I34" s="5">
        <f t="shared" ref="I34:I65" si="11">RANK(C34,C$2:C$128,1)+(COUNTIF(C$2:C$128,C34)-1)/2</f>
        <v>68.5</v>
      </c>
      <c r="J34" s="5">
        <f t="shared" ref="J34:J65" si="12">RANK(D34,D$2:D$128,1)+(COUNTIF(D$2:D$128,D34)-1)/2</f>
        <v>93</v>
      </c>
      <c r="K34" s="5">
        <f t="shared" ref="K34:K65" si="13">RANK(E34,E$2:E$128,1)+(COUNTIF(E$2:E$128,E34)-1)/2</f>
        <v>100</v>
      </c>
      <c r="L34" s="5">
        <f t="shared" ref="L34:L65" si="14">RANK(F34,F$2:F$128,1)+(COUNTIF(F$2:F$128,F34)-1)/2</f>
        <v>124</v>
      </c>
      <c r="M34" s="5">
        <f t="shared" ref="M34:M65" si="15">RANK(G34,G$2:G$128,1)+(COUNTIF(G$2:G$128,G34)-1)/2</f>
        <v>125</v>
      </c>
    </row>
    <row r="35" spans="1:13" ht="22.05" customHeight="1">
      <c r="A35" s="1" t="s">
        <v>46</v>
      </c>
      <c r="B35" s="3">
        <v>4</v>
      </c>
      <c r="C35" s="3">
        <v>51.31</v>
      </c>
      <c r="D35" s="3">
        <v>3.87</v>
      </c>
      <c r="E35" s="3">
        <v>52.07</v>
      </c>
      <c r="F35" s="4">
        <f t="shared" si="8"/>
        <v>-0.13</v>
      </c>
      <c r="G35" s="4">
        <f t="shared" si="9"/>
        <v>0.76</v>
      </c>
      <c r="H35" s="5">
        <f t="shared" si="10"/>
        <v>22</v>
      </c>
      <c r="I35" s="5">
        <f t="shared" si="11"/>
        <v>101.5</v>
      </c>
      <c r="J35" s="5">
        <f t="shared" si="12"/>
        <v>29</v>
      </c>
      <c r="K35" s="5">
        <f t="shared" si="13"/>
        <v>110</v>
      </c>
      <c r="L35" s="5">
        <f t="shared" si="14"/>
        <v>63</v>
      </c>
      <c r="M35" s="5">
        <f t="shared" si="15"/>
        <v>111.5</v>
      </c>
    </row>
    <row r="36" spans="1:13" ht="22.05" customHeight="1">
      <c r="A36" s="1" t="s">
        <v>47</v>
      </c>
      <c r="B36" s="3">
        <v>13.73</v>
      </c>
      <c r="C36" s="3">
        <v>49.63</v>
      </c>
      <c r="D36" s="3">
        <v>15.89</v>
      </c>
      <c r="E36" s="3">
        <v>50.63</v>
      </c>
      <c r="F36" s="4">
        <f t="shared" si="8"/>
        <v>2.16</v>
      </c>
      <c r="G36" s="4">
        <f t="shared" si="9"/>
        <v>1</v>
      </c>
      <c r="H36" s="5">
        <f t="shared" si="10"/>
        <v>110</v>
      </c>
      <c r="I36" s="5">
        <f t="shared" si="11"/>
        <v>56</v>
      </c>
      <c r="J36" s="5">
        <f t="shared" si="12"/>
        <v>115</v>
      </c>
      <c r="K36" s="5">
        <f t="shared" si="13"/>
        <v>85</v>
      </c>
      <c r="L36" s="5">
        <f t="shared" si="14"/>
        <v>114</v>
      </c>
      <c r="M36" s="5">
        <f t="shared" si="15"/>
        <v>118</v>
      </c>
    </row>
    <row r="37" spans="1:13" ht="22.05" customHeight="1">
      <c r="A37" s="1" t="s">
        <v>48</v>
      </c>
      <c r="B37" s="3">
        <v>5.84</v>
      </c>
      <c r="C37" s="3">
        <v>51.46</v>
      </c>
      <c r="D37" s="3">
        <v>5.42</v>
      </c>
      <c r="E37" s="3">
        <v>51.77</v>
      </c>
      <c r="F37" s="4">
        <f t="shared" si="8"/>
        <v>-0.42</v>
      </c>
      <c r="G37" s="4">
        <f t="shared" si="9"/>
        <v>0.31</v>
      </c>
      <c r="H37" s="5">
        <f t="shared" si="10"/>
        <v>60</v>
      </c>
      <c r="I37" s="5">
        <f t="shared" si="11"/>
        <v>103</v>
      </c>
      <c r="J37" s="5">
        <f t="shared" si="12"/>
        <v>56.5</v>
      </c>
      <c r="K37" s="5">
        <f t="shared" si="13"/>
        <v>106</v>
      </c>
      <c r="L37" s="5">
        <f t="shared" si="14"/>
        <v>50</v>
      </c>
      <c r="M37" s="5">
        <f t="shared" si="15"/>
        <v>87</v>
      </c>
    </row>
    <row r="38" spans="1:13" ht="22.05" customHeight="1">
      <c r="A38" s="1" t="s">
        <v>49</v>
      </c>
      <c r="B38" s="3">
        <v>3.18</v>
      </c>
      <c r="C38" s="3">
        <v>50.81</v>
      </c>
      <c r="D38" s="3">
        <v>2.9</v>
      </c>
      <c r="E38" s="3">
        <v>51.87</v>
      </c>
      <c r="F38" s="4">
        <f t="shared" si="8"/>
        <v>-0.28000000000000003</v>
      </c>
      <c r="G38" s="4">
        <f t="shared" si="9"/>
        <v>1.06</v>
      </c>
      <c r="H38" s="5">
        <f t="shared" si="10"/>
        <v>14</v>
      </c>
      <c r="I38" s="5">
        <f t="shared" si="11"/>
        <v>88</v>
      </c>
      <c r="J38" s="5">
        <f t="shared" si="12"/>
        <v>20.5</v>
      </c>
      <c r="K38" s="5">
        <f t="shared" si="13"/>
        <v>108</v>
      </c>
      <c r="L38" s="5">
        <f t="shared" si="14"/>
        <v>53.5</v>
      </c>
      <c r="M38" s="5">
        <f t="shared" si="15"/>
        <v>119</v>
      </c>
    </row>
    <row r="39" spans="1:13" ht="22.05" customHeight="1">
      <c r="A39" s="1" t="s">
        <v>50</v>
      </c>
      <c r="B39" s="3">
        <v>6.99</v>
      </c>
      <c r="C39" s="3">
        <v>50.94</v>
      </c>
      <c r="D39" s="3">
        <v>7.6</v>
      </c>
      <c r="E39" s="3">
        <v>51.26</v>
      </c>
      <c r="F39" s="4">
        <f t="shared" si="8"/>
        <v>0.61</v>
      </c>
      <c r="G39" s="4">
        <f t="shared" si="9"/>
        <v>0.32</v>
      </c>
      <c r="H39" s="5">
        <f t="shared" si="10"/>
        <v>73</v>
      </c>
      <c r="I39" s="5">
        <f t="shared" si="11"/>
        <v>91</v>
      </c>
      <c r="J39" s="5">
        <f t="shared" si="12"/>
        <v>77</v>
      </c>
      <c r="K39" s="5">
        <f t="shared" si="13"/>
        <v>96</v>
      </c>
      <c r="L39" s="5">
        <f t="shared" si="14"/>
        <v>89</v>
      </c>
      <c r="M39" s="5">
        <f t="shared" si="15"/>
        <v>88</v>
      </c>
    </row>
    <row r="40" spans="1:13" ht="22.05" customHeight="1">
      <c r="A40" s="1" t="s">
        <v>51</v>
      </c>
      <c r="B40" s="3">
        <v>10.65</v>
      </c>
      <c r="C40" s="3">
        <v>50.4</v>
      </c>
      <c r="D40" s="3">
        <v>9.56</v>
      </c>
      <c r="E40" s="3">
        <v>50.66</v>
      </c>
      <c r="F40" s="4">
        <f t="shared" si="8"/>
        <v>-1.0900000000000001</v>
      </c>
      <c r="G40" s="4">
        <f t="shared" si="9"/>
        <v>0.26</v>
      </c>
      <c r="H40" s="5">
        <f t="shared" si="10"/>
        <v>95</v>
      </c>
      <c r="I40" s="5">
        <f t="shared" si="11"/>
        <v>79</v>
      </c>
      <c r="J40" s="5">
        <f t="shared" si="12"/>
        <v>88</v>
      </c>
      <c r="K40" s="5">
        <f t="shared" si="13"/>
        <v>86</v>
      </c>
      <c r="L40" s="5">
        <f t="shared" si="14"/>
        <v>29</v>
      </c>
      <c r="M40" s="5">
        <f t="shared" si="15"/>
        <v>86</v>
      </c>
    </row>
    <row r="41" spans="1:13" ht="22.05" customHeight="1">
      <c r="A41" s="1" t="s">
        <v>52</v>
      </c>
      <c r="B41" s="3">
        <v>3.17</v>
      </c>
      <c r="C41" s="3">
        <v>50.6</v>
      </c>
      <c r="D41" s="3">
        <v>2.5099999999999998</v>
      </c>
      <c r="E41" s="3">
        <v>51.84</v>
      </c>
      <c r="F41" s="4">
        <f t="shared" si="8"/>
        <v>-0.66</v>
      </c>
      <c r="G41" s="4">
        <f t="shared" si="9"/>
        <v>1.24</v>
      </c>
      <c r="H41" s="5">
        <f t="shared" si="10"/>
        <v>13</v>
      </c>
      <c r="I41" s="5">
        <f t="shared" si="11"/>
        <v>85</v>
      </c>
      <c r="J41" s="5">
        <f t="shared" si="12"/>
        <v>15</v>
      </c>
      <c r="K41" s="5">
        <f t="shared" si="13"/>
        <v>107</v>
      </c>
      <c r="L41" s="5">
        <f t="shared" si="14"/>
        <v>43.5</v>
      </c>
      <c r="M41" s="5">
        <f t="shared" si="15"/>
        <v>123</v>
      </c>
    </row>
    <row r="42" spans="1:13" ht="22.05" customHeight="1">
      <c r="A42" s="1" t="s">
        <v>53</v>
      </c>
      <c r="B42" s="3">
        <v>8.69</v>
      </c>
      <c r="C42" s="3">
        <v>50.22</v>
      </c>
      <c r="D42" s="3">
        <v>12.4</v>
      </c>
      <c r="E42" s="3">
        <v>50.8</v>
      </c>
      <c r="F42" s="4">
        <f t="shared" si="8"/>
        <v>3.71</v>
      </c>
      <c r="G42" s="4">
        <f t="shared" si="9"/>
        <v>0.57999999999999996</v>
      </c>
      <c r="H42" s="5">
        <f t="shared" si="10"/>
        <v>85</v>
      </c>
      <c r="I42" s="5">
        <f t="shared" si="11"/>
        <v>72</v>
      </c>
      <c r="J42" s="5">
        <f t="shared" si="12"/>
        <v>100</v>
      </c>
      <c r="K42" s="5">
        <f t="shared" si="13"/>
        <v>87</v>
      </c>
      <c r="L42" s="5">
        <f t="shared" si="14"/>
        <v>123</v>
      </c>
      <c r="M42" s="5">
        <f t="shared" si="15"/>
        <v>103.5</v>
      </c>
    </row>
    <row r="43" spans="1:13" ht="22.05" customHeight="1">
      <c r="A43" s="1" t="s">
        <v>54</v>
      </c>
      <c r="B43" s="3">
        <v>5.61</v>
      </c>
      <c r="C43" s="3">
        <v>51.65</v>
      </c>
      <c r="D43" s="3">
        <v>6.14</v>
      </c>
      <c r="E43" s="3">
        <v>51.14</v>
      </c>
      <c r="F43" s="4">
        <f t="shared" si="8"/>
        <v>0.53</v>
      </c>
      <c r="G43" s="4">
        <f t="shared" si="9"/>
        <v>-0.51</v>
      </c>
      <c r="H43" s="5">
        <f t="shared" si="10"/>
        <v>54.5</v>
      </c>
      <c r="I43" s="5">
        <f t="shared" si="11"/>
        <v>108</v>
      </c>
      <c r="J43" s="5">
        <f t="shared" si="12"/>
        <v>66</v>
      </c>
      <c r="K43" s="5">
        <f t="shared" si="13"/>
        <v>91.5</v>
      </c>
      <c r="L43" s="5">
        <f t="shared" si="14"/>
        <v>87</v>
      </c>
      <c r="M43" s="5">
        <f t="shared" si="15"/>
        <v>47</v>
      </c>
    </row>
    <row r="44" spans="1:13" ht="22.05" customHeight="1">
      <c r="A44" s="1" t="s">
        <v>55</v>
      </c>
      <c r="B44" s="3">
        <v>4.4800000000000004</v>
      </c>
      <c r="C44" s="3">
        <v>51.48</v>
      </c>
      <c r="D44" s="3">
        <v>3.17</v>
      </c>
      <c r="E44" s="3">
        <v>51.34</v>
      </c>
      <c r="F44" s="4">
        <f t="shared" si="8"/>
        <v>-1.31</v>
      </c>
      <c r="G44" s="4">
        <f t="shared" si="9"/>
        <v>-0.14000000000000001</v>
      </c>
      <c r="H44" s="5">
        <f t="shared" si="10"/>
        <v>36.5</v>
      </c>
      <c r="I44" s="5">
        <f t="shared" si="11"/>
        <v>104</v>
      </c>
      <c r="J44" s="5">
        <f t="shared" si="12"/>
        <v>25</v>
      </c>
      <c r="K44" s="5">
        <f t="shared" si="13"/>
        <v>98</v>
      </c>
      <c r="L44" s="5">
        <f t="shared" si="14"/>
        <v>27</v>
      </c>
      <c r="M44" s="5">
        <f t="shared" si="15"/>
        <v>64</v>
      </c>
    </row>
    <row r="45" spans="1:13" ht="22.05" customHeight="1">
      <c r="A45" s="1" t="s">
        <v>56</v>
      </c>
      <c r="B45" s="3">
        <v>15.57</v>
      </c>
      <c r="C45" s="3">
        <v>50.72</v>
      </c>
      <c r="D45" s="3">
        <v>16.61</v>
      </c>
      <c r="E45" s="3">
        <v>50.16</v>
      </c>
      <c r="F45" s="4">
        <f t="shared" si="8"/>
        <v>1.04</v>
      </c>
      <c r="G45" s="4">
        <f t="shared" si="9"/>
        <v>-0.56000000000000005</v>
      </c>
      <c r="H45" s="5">
        <f t="shared" si="10"/>
        <v>117</v>
      </c>
      <c r="I45" s="5">
        <f t="shared" si="11"/>
        <v>87</v>
      </c>
      <c r="J45" s="5">
        <f t="shared" si="12"/>
        <v>117</v>
      </c>
      <c r="K45" s="5">
        <f t="shared" si="13"/>
        <v>78</v>
      </c>
      <c r="L45" s="5">
        <f t="shared" si="14"/>
        <v>102.5</v>
      </c>
      <c r="M45" s="5">
        <f t="shared" si="15"/>
        <v>44</v>
      </c>
    </row>
    <row r="46" spans="1:13" ht="22.05" customHeight="1">
      <c r="A46" s="1" t="s">
        <v>57</v>
      </c>
      <c r="B46" s="3">
        <v>3.68</v>
      </c>
      <c r="C46" s="3">
        <v>50.59</v>
      </c>
      <c r="D46" s="3">
        <v>4.46</v>
      </c>
      <c r="E46" s="3">
        <v>51.16</v>
      </c>
      <c r="F46" s="4">
        <f t="shared" si="8"/>
        <v>0.78</v>
      </c>
      <c r="G46" s="4">
        <f t="shared" si="9"/>
        <v>0.56999999999999995</v>
      </c>
      <c r="H46" s="5">
        <f t="shared" si="10"/>
        <v>19</v>
      </c>
      <c r="I46" s="5">
        <f t="shared" si="11"/>
        <v>84</v>
      </c>
      <c r="J46" s="5">
        <f t="shared" si="12"/>
        <v>38</v>
      </c>
      <c r="K46" s="5">
        <f t="shared" si="13"/>
        <v>93</v>
      </c>
      <c r="L46" s="5">
        <f t="shared" si="14"/>
        <v>94.5</v>
      </c>
      <c r="M46" s="5">
        <f t="shared" si="15"/>
        <v>101.5</v>
      </c>
    </row>
    <row r="47" spans="1:13" ht="22.05" customHeight="1">
      <c r="A47" s="1" t="s">
        <v>58</v>
      </c>
      <c r="B47" s="3">
        <v>4.63</v>
      </c>
      <c r="C47" s="3">
        <v>51.26</v>
      </c>
      <c r="D47" s="3">
        <v>4.2</v>
      </c>
      <c r="E47" s="3">
        <v>51.14</v>
      </c>
      <c r="F47" s="4">
        <f t="shared" si="8"/>
        <v>-0.43</v>
      </c>
      <c r="G47" s="4">
        <f t="shared" si="9"/>
        <v>-0.12</v>
      </c>
      <c r="H47" s="5">
        <f t="shared" si="10"/>
        <v>39</v>
      </c>
      <c r="I47" s="5">
        <f t="shared" si="11"/>
        <v>99</v>
      </c>
      <c r="J47" s="5">
        <f t="shared" si="12"/>
        <v>34</v>
      </c>
      <c r="K47" s="5">
        <f t="shared" si="13"/>
        <v>91.5</v>
      </c>
      <c r="L47" s="5">
        <f t="shared" si="14"/>
        <v>49</v>
      </c>
      <c r="M47" s="5">
        <f t="shared" si="15"/>
        <v>65.5</v>
      </c>
    </row>
    <row r="48" spans="1:13" ht="22.05" customHeight="1">
      <c r="A48" s="1" t="s">
        <v>59</v>
      </c>
      <c r="B48" s="3">
        <v>11.25</v>
      </c>
      <c r="C48" s="3">
        <v>49.64</v>
      </c>
      <c r="D48" s="3">
        <v>13.4</v>
      </c>
      <c r="E48" s="3">
        <v>49.78</v>
      </c>
      <c r="F48" s="4">
        <f t="shared" si="8"/>
        <v>2.15</v>
      </c>
      <c r="G48" s="4">
        <f t="shared" si="9"/>
        <v>0.14000000000000001</v>
      </c>
      <c r="H48" s="5">
        <f t="shared" si="10"/>
        <v>100</v>
      </c>
      <c r="I48" s="5">
        <f t="shared" si="11"/>
        <v>57</v>
      </c>
      <c r="J48" s="5">
        <f t="shared" si="12"/>
        <v>105</v>
      </c>
      <c r="K48" s="5">
        <f t="shared" si="13"/>
        <v>69</v>
      </c>
      <c r="L48" s="5">
        <f t="shared" si="14"/>
        <v>112.5</v>
      </c>
      <c r="M48" s="5">
        <f t="shared" si="15"/>
        <v>79</v>
      </c>
    </row>
    <row r="49" spans="1:13" ht="22.05" customHeight="1">
      <c r="A49" s="1" t="s">
        <v>60</v>
      </c>
      <c r="B49" s="3">
        <v>18.829999999999998</v>
      </c>
      <c r="C49" s="3">
        <v>49.12</v>
      </c>
      <c r="D49" s="3">
        <v>19.850000000000001</v>
      </c>
      <c r="E49" s="3">
        <v>49.36</v>
      </c>
      <c r="F49" s="4">
        <f t="shared" si="8"/>
        <v>1.02</v>
      </c>
      <c r="G49" s="4">
        <f t="shared" si="9"/>
        <v>0.24</v>
      </c>
      <c r="H49" s="5">
        <f t="shared" si="10"/>
        <v>123</v>
      </c>
      <c r="I49" s="5">
        <f t="shared" si="11"/>
        <v>40</v>
      </c>
      <c r="J49" s="5">
        <f t="shared" si="12"/>
        <v>125</v>
      </c>
      <c r="K49" s="5">
        <f t="shared" si="13"/>
        <v>59</v>
      </c>
      <c r="L49" s="5">
        <f t="shared" si="14"/>
        <v>101</v>
      </c>
      <c r="M49" s="5">
        <f t="shared" si="15"/>
        <v>84.5</v>
      </c>
    </row>
    <row r="50" spans="1:13" ht="22.05" customHeight="1">
      <c r="A50" s="1" t="s">
        <v>61</v>
      </c>
      <c r="B50" s="3">
        <v>14.15</v>
      </c>
      <c r="C50" s="3">
        <v>50.57</v>
      </c>
      <c r="D50" s="3">
        <v>12.46</v>
      </c>
      <c r="E50" s="3">
        <v>50.23</v>
      </c>
      <c r="F50" s="4">
        <f t="shared" si="8"/>
        <v>-1.69</v>
      </c>
      <c r="G50" s="4">
        <f t="shared" si="9"/>
        <v>-0.34</v>
      </c>
      <c r="H50" s="5">
        <f t="shared" si="10"/>
        <v>113</v>
      </c>
      <c r="I50" s="5">
        <f t="shared" si="11"/>
        <v>83</v>
      </c>
      <c r="J50" s="5">
        <f t="shared" si="12"/>
        <v>101</v>
      </c>
      <c r="K50" s="5">
        <f t="shared" si="13"/>
        <v>79</v>
      </c>
      <c r="L50" s="5">
        <f t="shared" si="14"/>
        <v>20</v>
      </c>
      <c r="M50" s="5">
        <f t="shared" si="15"/>
        <v>55</v>
      </c>
    </row>
    <row r="51" spans="1:13" ht="22.05" customHeight="1">
      <c r="A51" s="1" t="s">
        <v>62</v>
      </c>
      <c r="B51" s="3">
        <v>7.33</v>
      </c>
      <c r="C51" s="3">
        <v>50.01</v>
      </c>
      <c r="D51" s="3">
        <v>7.81</v>
      </c>
      <c r="E51" s="3">
        <v>50.55</v>
      </c>
      <c r="F51" s="4">
        <f t="shared" si="8"/>
        <v>0.48</v>
      </c>
      <c r="G51" s="4">
        <f t="shared" si="9"/>
        <v>0.54</v>
      </c>
      <c r="H51" s="5">
        <f t="shared" si="10"/>
        <v>78</v>
      </c>
      <c r="I51" s="5">
        <f t="shared" si="11"/>
        <v>65.5</v>
      </c>
      <c r="J51" s="5">
        <f t="shared" si="12"/>
        <v>81</v>
      </c>
      <c r="K51" s="5">
        <f t="shared" si="13"/>
        <v>82.5</v>
      </c>
      <c r="L51" s="5">
        <f t="shared" si="14"/>
        <v>86</v>
      </c>
      <c r="M51" s="5">
        <f t="shared" si="15"/>
        <v>99</v>
      </c>
    </row>
    <row r="52" spans="1:13" ht="22.05" customHeight="1">
      <c r="A52" s="1" t="s">
        <v>63</v>
      </c>
      <c r="B52" s="3">
        <v>24.83</v>
      </c>
      <c r="C52" s="3">
        <v>49.25</v>
      </c>
      <c r="D52" s="3">
        <v>24.33</v>
      </c>
      <c r="E52" s="3">
        <v>48.77</v>
      </c>
      <c r="F52" s="4">
        <f t="shared" si="8"/>
        <v>-0.5</v>
      </c>
      <c r="G52" s="4">
        <f t="shared" si="9"/>
        <v>-0.48</v>
      </c>
      <c r="H52" s="5">
        <f t="shared" si="10"/>
        <v>126</v>
      </c>
      <c r="I52" s="5">
        <f t="shared" si="11"/>
        <v>44</v>
      </c>
      <c r="J52" s="5">
        <f t="shared" si="12"/>
        <v>126</v>
      </c>
      <c r="K52" s="5">
        <f t="shared" si="13"/>
        <v>45</v>
      </c>
      <c r="L52" s="5">
        <f t="shared" si="14"/>
        <v>48</v>
      </c>
      <c r="M52" s="5">
        <f t="shared" si="15"/>
        <v>49.5</v>
      </c>
    </row>
    <row r="53" spans="1:13" ht="22.05" customHeight="1">
      <c r="A53" s="1" t="s">
        <v>64</v>
      </c>
      <c r="B53" s="3">
        <v>10.54</v>
      </c>
      <c r="C53" s="3">
        <v>51.16</v>
      </c>
      <c r="D53" s="3">
        <v>11.55</v>
      </c>
      <c r="E53" s="3">
        <v>49.94</v>
      </c>
      <c r="F53" s="4">
        <f t="shared" si="8"/>
        <v>1.01</v>
      </c>
      <c r="G53" s="4">
        <f t="shared" si="9"/>
        <v>-1.22</v>
      </c>
      <c r="H53" s="5">
        <f t="shared" si="10"/>
        <v>93</v>
      </c>
      <c r="I53" s="5">
        <f t="shared" si="11"/>
        <v>97.5</v>
      </c>
      <c r="J53" s="5">
        <f t="shared" si="12"/>
        <v>95</v>
      </c>
      <c r="K53" s="5">
        <f t="shared" si="13"/>
        <v>73</v>
      </c>
      <c r="L53" s="5">
        <f t="shared" si="14"/>
        <v>99.5</v>
      </c>
      <c r="M53" s="5">
        <f t="shared" si="15"/>
        <v>15</v>
      </c>
    </row>
    <row r="54" spans="1:13" ht="22.05" customHeight="1">
      <c r="A54" s="1" t="s">
        <v>65</v>
      </c>
      <c r="B54" s="3">
        <v>3.54</v>
      </c>
      <c r="C54" s="3">
        <v>51.63</v>
      </c>
      <c r="D54" s="3">
        <v>2.5499999999999998</v>
      </c>
      <c r="E54" s="3">
        <v>49.97</v>
      </c>
      <c r="F54" s="4">
        <f t="shared" si="8"/>
        <v>-0.99</v>
      </c>
      <c r="G54" s="4">
        <f t="shared" si="9"/>
        <v>-1.66</v>
      </c>
      <c r="H54" s="5">
        <f t="shared" si="10"/>
        <v>18</v>
      </c>
      <c r="I54" s="5">
        <f t="shared" si="11"/>
        <v>106.5</v>
      </c>
      <c r="J54" s="5">
        <f t="shared" si="12"/>
        <v>16</v>
      </c>
      <c r="K54" s="5">
        <f t="shared" si="13"/>
        <v>74</v>
      </c>
      <c r="L54" s="5">
        <f t="shared" si="14"/>
        <v>34</v>
      </c>
      <c r="M54" s="5">
        <f t="shared" si="15"/>
        <v>10</v>
      </c>
    </row>
    <row r="55" spans="1:13" ht="22.05" customHeight="1">
      <c r="A55" s="1" t="s">
        <v>66</v>
      </c>
      <c r="B55" s="3">
        <v>3.32</v>
      </c>
      <c r="C55" s="3">
        <v>51.31</v>
      </c>
      <c r="D55" s="3">
        <v>2.37</v>
      </c>
      <c r="E55" s="3">
        <v>50.89</v>
      </c>
      <c r="F55" s="4">
        <f t="shared" si="8"/>
        <v>-0.95</v>
      </c>
      <c r="G55" s="4">
        <f t="shared" si="9"/>
        <v>-0.42</v>
      </c>
      <c r="H55" s="5">
        <f t="shared" si="10"/>
        <v>16</v>
      </c>
      <c r="I55" s="5">
        <f t="shared" si="11"/>
        <v>101.5</v>
      </c>
      <c r="J55" s="5">
        <f t="shared" si="12"/>
        <v>12</v>
      </c>
      <c r="K55" s="5">
        <f t="shared" si="13"/>
        <v>89</v>
      </c>
      <c r="L55" s="5">
        <f t="shared" si="14"/>
        <v>35</v>
      </c>
      <c r="M55" s="5">
        <f t="shared" si="15"/>
        <v>52</v>
      </c>
    </row>
    <row r="56" spans="1:13" ht="22.05" customHeight="1">
      <c r="A56" s="1" t="s">
        <v>67</v>
      </c>
      <c r="B56" s="3">
        <v>12.78</v>
      </c>
      <c r="C56" s="3">
        <v>50.45</v>
      </c>
      <c r="D56" s="3">
        <v>11.71</v>
      </c>
      <c r="E56" s="3">
        <v>49.66</v>
      </c>
      <c r="F56" s="4">
        <f t="shared" si="8"/>
        <v>-1.07</v>
      </c>
      <c r="G56" s="4">
        <f t="shared" si="9"/>
        <v>-0.79</v>
      </c>
      <c r="H56" s="5">
        <f t="shared" si="10"/>
        <v>107</v>
      </c>
      <c r="I56" s="5">
        <f t="shared" si="11"/>
        <v>81</v>
      </c>
      <c r="J56" s="5">
        <f t="shared" si="12"/>
        <v>96</v>
      </c>
      <c r="K56" s="5">
        <f t="shared" si="13"/>
        <v>66</v>
      </c>
      <c r="L56" s="5">
        <f t="shared" si="14"/>
        <v>30</v>
      </c>
      <c r="M56" s="5">
        <f t="shared" si="15"/>
        <v>35</v>
      </c>
    </row>
    <row r="57" spans="1:13" ht="22.05" customHeight="1">
      <c r="A57" s="1" t="s">
        <v>68</v>
      </c>
      <c r="B57" s="3">
        <v>2.94</v>
      </c>
      <c r="C57" s="3">
        <v>49.62</v>
      </c>
      <c r="D57" s="3">
        <v>3.11</v>
      </c>
      <c r="E57" s="3">
        <v>49.38</v>
      </c>
      <c r="F57" s="4">
        <f t="shared" si="8"/>
        <v>0.17</v>
      </c>
      <c r="G57" s="4">
        <f t="shared" si="9"/>
        <v>-0.24</v>
      </c>
      <c r="H57" s="5">
        <f t="shared" si="10"/>
        <v>11</v>
      </c>
      <c r="I57" s="5">
        <f t="shared" si="11"/>
        <v>55</v>
      </c>
      <c r="J57" s="5">
        <f t="shared" si="12"/>
        <v>23</v>
      </c>
      <c r="K57" s="5">
        <f t="shared" si="13"/>
        <v>60</v>
      </c>
      <c r="L57" s="5">
        <f t="shared" si="14"/>
        <v>76.5</v>
      </c>
      <c r="M57" s="5">
        <f t="shared" si="15"/>
        <v>59</v>
      </c>
    </row>
    <row r="58" spans="1:13" ht="22.05" customHeight="1">
      <c r="A58" s="1" t="s">
        <v>69</v>
      </c>
      <c r="B58" s="3">
        <v>4.4800000000000004</v>
      </c>
      <c r="C58" s="3">
        <v>49.8</v>
      </c>
      <c r="D58" s="3">
        <v>4.54</v>
      </c>
      <c r="E58" s="3">
        <v>50.32</v>
      </c>
      <c r="F58" s="4">
        <f t="shared" si="8"/>
        <v>0.06</v>
      </c>
      <c r="G58" s="4">
        <f t="shared" si="9"/>
        <v>0.52</v>
      </c>
      <c r="H58" s="5">
        <f t="shared" si="10"/>
        <v>36.5</v>
      </c>
      <c r="I58" s="5">
        <f t="shared" si="11"/>
        <v>61</v>
      </c>
      <c r="J58" s="5">
        <f t="shared" si="12"/>
        <v>39.5</v>
      </c>
      <c r="K58" s="5">
        <f t="shared" si="13"/>
        <v>80</v>
      </c>
      <c r="L58" s="5">
        <f t="shared" si="14"/>
        <v>71.5</v>
      </c>
      <c r="M58" s="5">
        <f t="shared" si="15"/>
        <v>97</v>
      </c>
    </row>
    <row r="59" spans="1:13" ht="22.05" customHeight="1">
      <c r="A59" s="1" t="s">
        <v>70</v>
      </c>
      <c r="B59" s="3">
        <v>1.77</v>
      </c>
      <c r="C59" s="3">
        <v>50.25</v>
      </c>
      <c r="D59" s="3">
        <v>2.4700000000000002</v>
      </c>
      <c r="E59" s="3">
        <v>50.47</v>
      </c>
      <c r="F59" s="4">
        <f t="shared" si="8"/>
        <v>0.7</v>
      </c>
      <c r="G59" s="4">
        <f t="shared" si="9"/>
        <v>0.22</v>
      </c>
      <c r="H59" s="5">
        <f t="shared" si="10"/>
        <v>4</v>
      </c>
      <c r="I59" s="5">
        <f t="shared" si="11"/>
        <v>76.5</v>
      </c>
      <c r="J59" s="5">
        <f t="shared" si="12"/>
        <v>14</v>
      </c>
      <c r="K59" s="5">
        <f t="shared" si="13"/>
        <v>81</v>
      </c>
      <c r="L59" s="5">
        <f t="shared" si="14"/>
        <v>92</v>
      </c>
      <c r="M59" s="5">
        <f t="shared" si="15"/>
        <v>83</v>
      </c>
    </row>
    <row r="60" spans="1:13" ht="22.05" customHeight="1">
      <c r="A60" s="1" t="s">
        <v>71</v>
      </c>
      <c r="B60" s="3">
        <v>6.71</v>
      </c>
      <c r="C60" s="3">
        <v>50.99</v>
      </c>
      <c r="D60" s="3">
        <v>5.94</v>
      </c>
      <c r="E60" s="3">
        <v>50.01</v>
      </c>
      <c r="F60" s="4">
        <f t="shared" si="8"/>
        <v>-0.77</v>
      </c>
      <c r="G60" s="4">
        <f t="shared" si="9"/>
        <v>-0.98</v>
      </c>
      <c r="H60" s="5">
        <f t="shared" si="10"/>
        <v>70</v>
      </c>
      <c r="I60" s="5">
        <f t="shared" si="11"/>
        <v>93</v>
      </c>
      <c r="J60" s="5">
        <f t="shared" si="12"/>
        <v>64</v>
      </c>
      <c r="K60" s="5">
        <f t="shared" si="13"/>
        <v>76</v>
      </c>
      <c r="L60" s="5">
        <f t="shared" si="14"/>
        <v>40</v>
      </c>
      <c r="M60" s="5">
        <f t="shared" si="15"/>
        <v>26</v>
      </c>
    </row>
    <row r="61" spans="1:13" ht="22.05" customHeight="1">
      <c r="A61" s="1" t="s">
        <v>72</v>
      </c>
      <c r="B61" s="3">
        <v>7.1</v>
      </c>
      <c r="C61" s="3">
        <v>50.03</v>
      </c>
      <c r="D61" s="3">
        <v>5.77</v>
      </c>
      <c r="E61" s="3">
        <v>50.09</v>
      </c>
      <c r="F61" s="4">
        <f t="shared" si="8"/>
        <v>-1.33</v>
      </c>
      <c r="G61" s="4">
        <f t="shared" si="9"/>
        <v>0.06</v>
      </c>
      <c r="H61" s="5">
        <f t="shared" si="10"/>
        <v>74</v>
      </c>
      <c r="I61" s="5">
        <f t="shared" si="11"/>
        <v>68.5</v>
      </c>
      <c r="J61" s="5">
        <f t="shared" si="12"/>
        <v>63</v>
      </c>
      <c r="K61" s="5">
        <f t="shared" si="13"/>
        <v>77</v>
      </c>
      <c r="L61" s="5">
        <f t="shared" si="14"/>
        <v>26</v>
      </c>
      <c r="M61" s="5">
        <f t="shared" si="15"/>
        <v>76</v>
      </c>
    </row>
    <row r="62" spans="1:13" ht="22.05" customHeight="1">
      <c r="A62" s="1" t="s">
        <v>73</v>
      </c>
      <c r="B62" s="3">
        <v>4.42</v>
      </c>
      <c r="C62" s="3">
        <v>50.04</v>
      </c>
      <c r="D62" s="3">
        <v>5.16</v>
      </c>
      <c r="E62" s="3">
        <v>49.99</v>
      </c>
      <c r="F62" s="4">
        <f t="shared" si="8"/>
        <v>0.74</v>
      </c>
      <c r="G62" s="4">
        <f t="shared" si="9"/>
        <v>-0.05</v>
      </c>
      <c r="H62" s="5">
        <f t="shared" si="10"/>
        <v>33</v>
      </c>
      <c r="I62" s="5">
        <f t="shared" si="11"/>
        <v>70</v>
      </c>
      <c r="J62" s="5">
        <f t="shared" si="12"/>
        <v>53</v>
      </c>
      <c r="K62" s="5">
        <f t="shared" si="13"/>
        <v>75</v>
      </c>
      <c r="L62" s="5">
        <f t="shared" si="14"/>
        <v>93</v>
      </c>
      <c r="M62" s="5">
        <f t="shared" si="15"/>
        <v>71</v>
      </c>
    </row>
    <row r="63" spans="1:13" ht="22.05" customHeight="1">
      <c r="A63" s="1" t="s">
        <v>74</v>
      </c>
      <c r="B63" s="3">
        <v>5.0999999999999996</v>
      </c>
      <c r="C63" s="3">
        <v>50.67</v>
      </c>
      <c r="D63" s="3">
        <v>6.65</v>
      </c>
      <c r="E63" s="3">
        <v>49.9</v>
      </c>
      <c r="F63" s="4">
        <f t="shared" si="8"/>
        <v>1.55</v>
      </c>
      <c r="G63" s="4">
        <f t="shared" si="9"/>
        <v>-0.77</v>
      </c>
      <c r="H63" s="5">
        <f t="shared" si="10"/>
        <v>46.5</v>
      </c>
      <c r="I63" s="5">
        <f t="shared" si="11"/>
        <v>86</v>
      </c>
      <c r="J63" s="5">
        <f t="shared" si="12"/>
        <v>69</v>
      </c>
      <c r="K63" s="5">
        <f t="shared" si="13"/>
        <v>71.5</v>
      </c>
      <c r="L63" s="5">
        <f t="shared" si="14"/>
        <v>109</v>
      </c>
      <c r="M63" s="5">
        <f t="shared" si="15"/>
        <v>36.5</v>
      </c>
    </row>
    <row r="64" spans="1:13" ht="22.05" customHeight="1">
      <c r="A64" s="1" t="s">
        <v>75</v>
      </c>
      <c r="B64" s="3">
        <v>4.13</v>
      </c>
      <c r="C64" s="3">
        <v>50.23</v>
      </c>
      <c r="D64" s="3">
        <v>4.54</v>
      </c>
      <c r="E64" s="3">
        <v>49.9</v>
      </c>
      <c r="F64" s="4">
        <f t="shared" si="8"/>
        <v>0.41</v>
      </c>
      <c r="G64" s="4">
        <f t="shared" si="9"/>
        <v>-0.33</v>
      </c>
      <c r="H64" s="5">
        <f t="shared" si="10"/>
        <v>25</v>
      </c>
      <c r="I64" s="5">
        <f t="shared" si="11"/>
        <v>73.5</v>
      </c>
      <c r="J64" s="5">
        <f t="shared" si="12"/>
        <v>39.5</v>
      </c>
      <c r="K64" s="5">
        <f t="shared" si="13"/>
        <v>71.5</v>
      </c>
      <c r="L64" s="5">
        <f t="shared" si="14"/>
        <v>84</v>
      </c>
      <c r="M64" s="5">
        <f t="shared" si="15"/>
        <v>56</v>
      </c>
    </row>
    <row r="65" spans="1:13" ht="22.05" customHeight="1">
      <c r="A65" s="1" t="s">
        <v>76</v>
      </c>
      <c r="B65" s="3">
        <v>6.63</v>
      </c>
      <c r="C65" s="3">
        <v>50.87</v>
      </c>
      <c r="D65" s="3">
        <v>4.6100000000000003</v>
      </c>
      <c r="E65" s="3">
        <v>49.81</v>
      </c>
      <c r="F65" s="4">
        <f t="shared" si="8"/>
        <v>-2.02</v>
      </c>
      <c r="G65" s="4">
        <f t="shared" si="9"/>
        <v>-1.06</v>
      </c>
      <c r="H65" s="5">
        <f t="shared" si="10"/>
        <v>67</v>
      </c>
      <c r="I65" s="5">
        <f t="shared" si="11"/>
        <v>89</v>
      </c>
      <c r="J65" s="5">
        <f t="shared" si="12"/>
        <v>42</v>
      </c>
      <c r="K65" s="5">
        <f t="shared" si="13"/>
        <v>70</v>
      </c>
      <c r="L65" s="5">
        <f t="shared" si="14"/>
        <v>12</v>
      </c>
      <c r="M65" s="5">
        <f t="shared" si="15"/>
        <v>21</v>
      </c>
    </row>
    <row r="66" spans="1:13" ht="22.05" customHeight="1">
      <c r="A66" s="1" t="s">
        <v>77</v>
      </c>
      <c r="B66" s="3">
        <v>8.9600000000000009</v>
      </c>
      <c r="C66" s="3">
        <v>51</v>
      </c>
      <c r="D66" s="3">
        <v>11.88</v>
      </c>
      <c r="E66" s="3">
        <v>49.25</v>
      </c>
      <c r="F66" s="4">
        <f t="shared" ref="F66:F97" si="16">ROUND(D66-B66,2)</f>
        <v>2.92</v>
      </c>
      <c r="G66" s="4">
        <f t="shared" ref="G66:G97" si="17">ROUND(E66-C66,2)</f>
        <v>-1.75</v>
      </c>
      <c r="H66" s="5">
        <f t="shared" ref="H66:H97" si="18">RANK(B66,B$2:B$128,1)+(COUNTIF(B$2:B$128,B66)-1)/2</f>
        <v>86</v>
      </c>
      <c r="I66" s="5">
        <f t="shared" ref="I66:I97" si="19">RANK(C66,C$2:C$128,1)+(COUNTIF(C$2:C$128,C66)-1)/2</f>
        <v>94</v>
      </c>
      <c r="J66" s="5">
        <f t="shared" ref="J66:J97" si="20">RANK(D66,D$2:D$128,1)+(COUNTIF(D$2:D$128,D66)-1)/2</f>
        <v>97</v>
      </c>
      <c r="K66" s="5">
        <f t="shared" ref="K66:K97" si="21">RANK(E66,E$2:E$128,1)+(COUNTIF(E$2:E$128,E66)-1)/2</f>
        <v>55.5</v>
      </c>
      <c r="L66" s="5">
        <f t="shared" ref="L66:L97" si="22">RANK(F66,F$2:F$128,1)+(COUNTIF(F$2:F$128,F66)-1)/2</f>
        <v>120</v>
      </c>
      <c r="M66" s="5">
        <f t="shared" ref="M66:M97" si="23">RANK(G66,G$2:G$128,1)+(COUNTIF(G$2:G$128,G66)-1)/2</f>
        <v>7</v>
      </c>
    </row>
    <row r="67" spans="1:13" ht="22.05" customHeight="1">
      <c r="A67" s="1" t="s">
        <v>78</v>
      </c>
      <c r="B67" s="3">
        <v>11.46</v>
      </c>
      <c r="C67" s="3">
        <v>50.25</v>
      </c>
      <c r="D67" s="3">
        <v>9.1999999999999993</v>
      </c>
      <c r="E67" s="3">
        <v>49.24</v>
      </c>
      <c r="F67" s="4">
        <f t="shared" si="16"/>
        <v>-2.2599999999999998</v>
      </c>
      <c r="G67" s="4">
        <f t="shared" si="17"/>
        <v>-1.01</v>
      </c>
      <c r="H67" s="5">
        <f t="shared" si="18"/>
        <v>102</v>
      </c>
      <c r="I67" s="5">
        <f t="shared" si="19"/>
        <v>76.5</v>
      </c>
      <c r="J67" s="5">
        <f t="shared" si="20"/>
        <v>85</v>
      </c>
      <c r="K67" s="5">
        <f t="shared" si="21"/>
        <v>54</v>
      </c>
      <c r="L67" s="5">
        <f t="shared" si="22"/>
        <v>10</v>
      </c>
      <c r="M67" s="5">
        <f t="shared" si="23"/>
        <v>23</v>
      </c>
    </row>
    <row r="68" spans="1:13" ht="22.05" customHeight="1">
      <c r="A68" s="1" t="s">
        <v>79</v>
      </c>
      <c r="B68" s="3">
        <v>7.2</v>
      </c>
      <c r="C68" s="3">
        <v>48.83</v>
      </c>
      <c r="D68" s="3">
        <v>6.35</v>
      </c>
      <c r="E68" s="3">
        <v>49.2</v>
      </c>
      <c r="F68" s="4">
        <f t="shared" si="16"/>
        <v>-0.85</v>
      </c>
      <c r="G68" s="4">
        <f t="shared" si="17"/>
        <v>0.37</v>
      </c>
      <c r="H68" s="5">
        <f t="shared" si="18"/>
        <v>77</v>
      </c>
      <c r="I68" s="5">
        <f t="shared" si="19"/>
        <v>36</v>
      </c>
      <c r="J68" s="5">
        <f t="shared" si="20"/>
        <v>68</v>
      </c>
      <c r="K68" s="5">
        <f t="shared" si="21"/>
        <v>52</v>
      </c>
      <c r="L68" s="5">
        <f t="shared" si="22"/>
        <v>37.5</v>
      </c>
      <c r="M68" s="5">
        <f t="shared" si="23"/>
        <v>90.5</v>
      </c>
    </row>
    <row r="69" spans="1:13" ht="22.05" customHeight="1">
      <c r="A69" s="1" t="s">
        <v>80</v>
      </c>
      <c r="B69" s="3">
        <v>15.71</v>
      </c>
      <c r="C69" s="3">
        <v>48.52</v>
      </c>
      <c r="D69" s="3">
        <v>16.72</v>
      </c>
      <c r="E69" s="3">
        <v>48.46</v>
      </c>
      <c r="F69" s="4">
        <f t="shared" si="16"/>
        <v>1.01</v>
      </c>
      <c r="G69" s="4">
        <f t="shared" si="17"/>
        <v>-0.06</v>
      </c>
      <c r="H69" s="5">
        <f t="shared" si="18"/>
        <v>118</v>
      </c>
      <c r="I69" s="5">
        <f t="shared" si="19"/>
        <v>31</v>
      </c>
      <c r="J69" s="5">
        <f t="shared" si="20"/>
        <v>118</v>
      </c>
      <c r="K69" s="5">
        <f t="shared" si="21"/>
        <v>38</v>
      </c>
      <c r="L69" s="5">
        <f t="shared" si="22"/>
        <v>99.5</v>
      </c>
      <c r="M69" s="5">
        <f t="shared" si="23"/>
        <v>70</v>
      </c>
    </row>
    <row r="70" spans="1:13" ht="22.05" customHeight="1">
      <c r="A70" s="1" t="s">
        <v>81</v>
      </c>
      <c r="B70" s="3">
        <v>10.64</v>
      </c>
      <c r="C70" s="3">
        <v>49.02</v>
      </c>
      <c r="D70" s="3">
        <v>10.46</v>
      </c>
      <c r="E70" s="3">
        <v>49.03</v>
      </c>
      <c r="F70" s="4">
        <f t="shared" si="16"/>
        <v>-0.18</v>
      </c>
      <c r="G70" s="4">
        <f t="shared" si="17"/>
        <v>0.01</v>
      </c>
      <c r="H70" s="5">
        <f t="shared" si="18"/>
        <v>94</v>
      </c>
      <c r="I70" s="5">
        <f t="shared" si="19"/>
        <v>38</v>
      </c>
      <c r="J70" s="5">
        <f t="shared" si="20"/>
        <v>92</v>
      </c>
      <c r="K70" s="5">
        <f t="shared" si="21"/>
        <v>46.5</v>
      </c>
      <c r="L70" s="5">
        <f t="shared" si="22"/>
        <v>59</v>
      </c>
      <c r="M70" s="5">
        <f t="shared" si="23"/>
        <v>73</v>
      </c>
    </row>
    <row r="71" spans="1:13" ht="22.05" customHeight="1">
      <c r="A71" s="1" t="s">
        <v>82</v>
      </c>
      <c r="B71" s="3">
        <v>8.61</v>
      </c>
      <c r="C71" s="3">
        <v>49.17</v>
      </c>
      <c r="D71" s="3">
        <v>7.79</v>
      </c>
      <c r="E71" s="3">
        <v>48.64</v>
      </c>
      <c r="F71" s="4">
        <f t="shared" si="16"/>
        <v>-0.82</v>
      </c>
      <c r="G71" s="4">
        <f t="shared" si="17"/>
        <v>-0.53</v>
      </c>
      <c r="H71" s="5">
        <f t="shared" si="18"/>
        <v>83</v>
      </c>
      <c r="I71" s="5">
        <f t="shared" si="19"/>
        <v>42</v>
      </c>
      <c r="J71" s="5">
        <f t="shared" si="20"/>
        <v>80</v>
      </c>
      <c r="K71" s="5">
        <f t="shared" si="21"/>
        <v>42.5</v>
      </c>
      <c r="L71" s="5">
        <f t="shared" si="22"/>
        <v>39</v>
      </c>
      <c r="M71" s="5">
        <f t="shared" si="23"/>
        <v>46</v>
      </c>
    </row>
    <row r="72" spans="1:13" ht="22.05" customHeight="1">
      <c r="A72" s="1" t="s">
        <v>83</v>
      </c>
      <c r="B72" s="3">
        <v>4.8600000000000003</v>
      </c>
      <c r="C72" s="3">
        <v>49.89</v>
      </c>
      <c r="D72" s="3">
        <v>3.83</v>
      </c>
      <c r="E72" s="3">
        <v>49.69</v>
      </c>
      <c r="F72" s="4">
        <f t="shared" si="16"/>
        <v>-1.03</v>
      </c>
      <c r="G72" s="4">
        <f t="shared" si="17"/>
        <v>-0.2</v>
      </c>
      <c r="H72" s="5">
        <f t="shared" si="18"/>
        <v>41</v>
      </c>
      <c r="I72" s="5">
        <f t="shared" si="19"/>
        <v>63</v>
      </c>
      <c r="J72" s="5">
        <f t="shared" si="20"/>
        <v>28</v>
      </c>
      <c r="K72" s="5">
        <f t="shared" si="21"/>
        <v>68</v>
      </c>
      <c r="L72" s="5">
        <f t="shared" si="22"/>
        <v>33</v>
      </c>
      <c r="M72" s="5">
        <f t="shared" si="23"/>
        <v>61.5</v>
      </c>
    </row>
    <row r="73" spans="1:13" ht="22.05" customHeight="1">
      <c r="A73" s="1" t="s">
        <v>84</v>
      </c>
      <c r="B73" s="3">
        <v>5.0999999999999996</v>
      </c>
      <c r="C73" s="3">
        <v>50.02</v>
      </c>
      <c r="D73" s="3">
        <v>5.03</v>
      </c>
      <c r="E73" s="3">
        <v>49.25</v>
      </c>
      <c r="F73" s="4">
        <f t="shared" si="16"/>
        <v>-7.0000000000000007E-2</v>
      </c>
      <c r="G73" s="4">
        <f t="shared" si="17"/>
        <v>-0.77</v>
      </c>
      <c r="H73" s="5">
        <f t="shared" si="18"/>
        <v>46.5</v>
      </c>
      <c r="I73" s="5">
        <f t="shared" si="19"/>
        <v>67</v>
      </c>
      <c r="J73" s="5">
        <f t="shared" si="20"/>
        <v>50</v>
      </c>
      <c r="K73" s="5">
        <f t="shared" si="21"/>
        <v>55.5</v>
      </c>
      <c r="L73" s="5">
        <f t="shared" si="22"/>
        <v>67.5</v>
      </c>
      <c r="M73" s="5">
        <f t="shared" si="23"/>
        <v>36.5</v>
      </c>
    </row>
    <row r="74" spans="1:13" ht="22.05" customHeight="1">
      <c r="A74" s="1" t="s">
        <v>85</v>
      </c>
      <c r="B74" s="3">
        <v>6.77</v>
      </c>
      <c r="C74" s="3">
        <v>50.55</v>
      </c>
      <c r="D74" s="3">
        <v>4.8899999999999997</v>
      </c>
      <c r="E74" s="3">
        <v>49.55</v>
      </c>
      <c r="F74" s="4">
        <f t="shared" si="16"/>
        <v>-1.88</v>
      </c>
      <c r="G74" s="4">
        <f t="shared" si="17"/>
        <v>-1</v>
      </c>
      <c r="H74" s="5">
        <f t="shared" si="18"/>
        <v>71</v>
      </c>
      <c r="I74" s="5">
        <f t="shared" si="19"/>
        <v>82</v>
      </c>
      <c r="J74" s="5">
        <f t="shared" si="20"/>
        <v>48</v>
      </c>
      <c r="K74" s="5">
        <f t="shared" si="21"/>
        <v>63</v>
      </c>
      <c r="L74" s="5">
        <f t="shared" si="22"/>
        <v>15</v>
      </c>
      <c r="M74" s="5">
        <f t="shared" si="23"/>
        <v>24.5</v>
      </c>
    </row>
    <row r="75" spans="1:13" ht="22.05" customHeight="1">
      <c r="A75" s="1" t="s">
        <v>86</v>
      </c>
      <c r="B75" s="3">
        <v>4.0199999999999996</v>
      </c>
      <c r="C75" s="3">
        <v>49.08</v>
      </c>
      <c r="D75" s="3">
        <v>4.08</v>
      </c>
      <c r="E75" s="3">
        <v>49.58</v>
      </c>
      <c r="F75" s="4">
        <f t="shared" si="16"/>
        <v>0.06</v>
      </c>
      <c r="G75" s="4">
        <f t="shared" si="17"/>
        <v>0.5</v>
      </c>
      <c r="H75" s="5">
        <f t="shared" si="18"/>
        <v>23</v>
      </c>
      <c r="I75" s="5">
        <f t="shared" si="19"/>
        <v>39</v>
      </c>
      <c r="J75" s="5">
        <f t="shared" si="20"/>
        <v>31.5</v>
      </c>
      <c r="K75" s="5">
        <f t="shared" si="21"/>
        <v>64</v>
      </c>
      <c r="L75" s="5">
        <f t="shared" si="22"/>
        <v>71.5</v>
      </c>
      <c r="M75" s="5">
        <f t="shared" si="23"/>
        <v>95.5</v>
      </c>
    </row>
    <row r="76" spans="1:13" ht="22.05" customHeight="1">
      <c r="A76" s="1" t="s">
        <v>87</v>
      </c>
      <c r="B76" s="3">
        <v>4.3499999999999996</v>
      </c>
      <c r="C76" s="3">
        <v>50.35</v>
      </c>
      <c r="D76" s="3">
        <v>2.62</v>
      </c>
      <c r="E76" s="3">
        <v>49.54</v>
      </c>
      <c r="F76" s="4">
        <f t="shared" si="16"/>
        <v>-1.73</v>
      </c>
      <c r="G76" s="4">
        <f t="shared" si="17"/>
        <v>-0.81</v>
      </c>
      <c r="H76" s="5">
        <f t="shared" si="18"/>
        <v>32</v>
      </c>
      <c r="I76" s="5">
        <f t="shared" si="19"/>
        <v>78</v>
      </c>
      <c r="J76" s="5">
        <f t="shared" si="20"/>
        <v>18</v>
      </c>
      <c r="K76" s="5">
        <f t="shared" si="21"/>
        <v>62</v>
      </c>
      <c r="L76" s="5">
        <f t="shared" si="22"/>
        <v>17.5</v>
      </c>
      <c r="M76" s="5">
        <f t="shared" si="23"/>
        <v>34</v>
      </c>
    </row>
    <row r="77" spans="1:13" ht="22.05" customHeight="1">
      <c r="A77" s="1" t="s">
        <v>88</v>
      </c>
      <c r="B77" s="3">
        <v>5.78</v>
      </c>
      <c r="C77" s="3">
        <v>47.67</v>
      </c>
      <c r="D77" s="3">
        <v>5.99</v>
      </c>
      <c r="E77" s="3">
        <v>47.55</v>
      </c>
      <c r="F77" s="4">
        <f t="shared" si="16"/>
        <v>0.21</v>
      </c>
      <c r="G77" s="4">
        <f t="shared" si="17"/>
        <v>-0.12</v>
      </c>
      <c r="H77" s="5">
        <f t="shared" si="18"/>
        <v>59</v>
      </c>
      <c r="I77" s="5">
        <f t="shared" si="19"/>
        <v>20</v>
      </c>
      <c r="J77" s="5">
        <f t="shared" si="20"/>
        <v>65</v>
      </c>
      <c r="K77" s="5">
        <f t="shared" si="21"/>
        <v>27</v>
      </c>
      <c r="L77" s="5">
        <f t="shared" si="22"/>
        <v>78</v>
      </c>
      <c r="M77" s="5">
        <f t="shared" si="23"/>
        <v>65.5</v>
      </c>
    </row>
    <row r="78" spans="1:13" ht="22.05" customHeight="1">
      <c r="A78" s="1" t="s">
        <v>89</v>
      </c>
      <c r="B78" s="3">
        <v>8.6199999999999992</v>
      </c>
      <c r="C78" s="3">
        <v>48.58</v>
      </c>
      <c r="D78" s="3">
        <v>7.38</v>
      </c>
      <c r="E78" s="3">
        <v>49.03</v>
      </c>
      <c r="F78" s="4">
        <f t="shared" si="16"/>
        <v>-1.24</v>
      </c>
      <c r="G78" s="4">
        <f t="shared" si="17"/>
        <v>0.45</v>
      </c>
      <c r="H78" s="5">
        <f t="shared" si="18"/>
        <v>84</v>
      </c>
      <c r="I78" s="5">
        <f t="shared" si="19"/>
        <v>33</v>
      </c>
      <c r="J78" s="5">
        <f t="shared" si="20"/>
        <v>74</v>
      </c>
      <c r="K78" s="5">
        <f t="shared" si="21"/>
        <v>46.5</v>
      </c>
      <c r="L78" s="5">
        <f t="shared" si="22"/>
        <v>28</v>
      </c>
      <c r="M78" s="5">
        <f t="shared" si="23"/>
        <v>93</v>
      </c>
    </row>
    <row r="79" spans="1:13" ht="22.05" customHeight="1">
      <c r="A79" s="1" t="s">
        <v>90</v>
      </c>
      <c r="B79" s="3">
        <v>8.6</v>
      </c>
      <c r="C79" s="3">
        <v>50.97</v>
      </c>
      <c r="D79" s="3">
        <v>6.28</v>
      </c>
      <c r="E79" s="3">
        <v>49.28</v>
      </c>
      <c r="F79" s="4">
        <f t="shared" si="16"/>
        <v>-2.3199999999999998</v>
      </c>
      <c r="G79" s="4">
        <f t="shared" si="17"/>
        <v>-1.69</v>
      </c>
      <c r="H79" s="5">
        <f t="shared" si="18"/>
        <v>82</v>
      </c>
      <c r="I79" s="5">
        <f t="shared" si="19"/>
        <v>92</v>
      </c>
      <c r="J79" s="5">
        <f t="shared" si="20"/>
        <v>67</v>
      </c>
      <c r="K79" s="5">
        <f t="shared" si="21"/>
        <v>57</v>
      </c>
      <c r="L79" s="5">
        <f t="shared" si="22"/>
        <v>8</v>
      </c>
      <c r="M79" s="5">
        <f t="shared" si="23"/>
        <v>8.5</v>
      </c>
    </row>
    <row r="80" spans="1:13" ht="22.05" customHeight="1">
      <c r="A80" s="1" t="s">
        <v>91</v>
      </c>
      <c r="B80" s="3">
        <v>5.04</v>
      </c>
      <c r="C80" s="3">
        <v>49.39</v>
      </c>
      <c r="D80" s="3">
        <v>5.68</v>
      </c>
      <c r="E80" s="3">
        <v>49.19</v>
      </c>
      <c r="F80" s="4">
        <f t="shared" si="16"/>
        <v>0.64</v>
      </c>
      <c r="G80" s="4">
        <f t="shared" si="17"/>
        <v>-0.2</v>
      </c>
      <c r="H80" s="5">
        <f t="shared" si="18"/>
        <v>45</v>
      </c>
      <c r="I80" s="5">
        <f t="shared" si="19"/>
        <v>48</v>
      </c>
      <c r="J80" s="5">
        <f t="shared" si="20"/>
        <v>60.5</v>
      </c>
      <c r="K80" s="5">
        <f t="shared" si="21"/>
        <v>51</v>
      </c>
      <c r="L80" s="5">
        <f t="shared" si="22"/>
        <v>90.5</v>
      </c>
      <c r="M80" s="5">
        <f t="shared" si="23"/>
        <v>61.5</v>
      </c>
    </row>
    <row r="81" spans="1:13" ht="22.05" customHeight="1">
      <c r="A81" s="1" t="s">
        <v>92</v>
      </c>
      <c r="B81" s="3">
        <v>4.59</v>
      </c>
      <c r="C81" s="3">
        <v>49.38</v>
      </c>
      <c r="D81" s="3">
        <v>4.63</v>
      </c>
      <c r="E81" s="3">
        <v>49.47</v>
      </c>
      <c r="F81" s="4">
        <f t="shared" si="16"/>
        <v>0.04</v>
      </c>
      <c r="G81" s="4">
        <f t="shared" si="17"/>
        <v>0.09</v>
      </c>
      <c r="H81" s="5">
        <f t="shared" si="18"/>
        <v>38</v>
      </c>
      <c r="I81" s="5">
        <f t="shared" si="19"/>
        <v>47</v>
      </c>
      <c r="J81" s="5">
        <f t="shared" si="20"/>
        <v>44</v>
      </c>
      <c r="K81" s="5">
        <f t="shared" si="21"/>
        <v>61</v>
      </c>
      <c r="L81" s="5">
        <f t="shared" si="22"/>
        <v>70</v>
      </c>
      <c r="M81" s="5">
        <f t="shared" si="23"/>
        <v>78</v>
      </c>
    </row>
    <row r="82" spans="1:13" ht="22.05" customHeight="1">
      <c r="A82" s="1" t="s">
        <v>93</v>
      </c>
      <c r="B82" s="3">
        <v>4.45</v>
      </c>
      <c r="C82" s="3">
        <v>49.58</v>
      </c>
      <c r="D82" s="3">
        <v>4.25</v>
      </c>
      <c r="E82" s="3">
        <v>49.21</v>
      </c>
      <c r="F82" s="4">
        <f t="shared" si="16"/>
        <v>-0.2</v>
      </c>
      <c r="G82" s="4">
        <f t="shared" si="17"/>
        <v>-0.37</v>
      </c>
      <c r="H82" s="5">
        <f t="shared" si="18"/>
        <v>35</v>
      </c>
      <c r="I82" s="5">
        <f t="shared" si="19"/>
        <v>53</v>
      </c>
      <c r="J82" s="5">
        <f t="shared" si="20"/>
        <v>35.5</v>
      </c>
      <c r="K82" s="5">
        <f t="shared" si="21"/>
        <v>53</v>
      </c>
      <c r="L82" s="5">
        <f t="shared" si="22"/>
        <v>56</v>
      </c>
      <c r="M82" s="5">
        <f t="shared" si="23"/>
        <v>53.5</v>
      </c>
    </row>
    <row r="83" spans="1:13" ht="22.05" customHeight="1">
      <c r="A83" s="1" t="s">
        <v>94</v>
      </c>
      <c r="B83" s="3">
        <v>1.18</v>
      </c>
      <c r="C83" s="3">
        <v>50.23</v>
      </c>
      <c r="D83" s="3">
        <v>1.08</v>
      </c>
      <c r="E83" s="3">
        <v>49.6</v>
      </c>
      <c r="F83" s="4">
        <f t="shared" si="16"/>
        <v>-0.1</v>
      </c>
      <c r="G83" s="4">
        <f t="shared" si="17"/>
        <v>-0.63</v>
      </c>
      <c r="H83" s="5">
        <f t="shared" si="18"/>
        <v>2</v>
      </c>
      <c r="I83" s="5">
        <f t="shared" si="19"/>
        <v>73.5</v>
      </c>
      <c r="J83" s="5">
        <f t="shared" si="20"/>
        <v>2</v>
      </c>
      <c r="K83" s="5">
        <f t="shared" si="21"/>
        <v>65</v>
      </c>
      <c r="L83" s="5">
        <f t="shared" si="22"/>
        <v>66</v>
      </c>
      <c r="M83" s="5">
        <f t="shared" si="23"/>
        <v>42</v>
      </c>
    </row>
    <row r="84" spans="1:13" ht="22.05" customHeight="1">
      <c r="A84" s="1" t="s">
        <v>95</v>
      </c>
      <c r="B84" s="3">
        <v>2.97</v>
      </c>
      <c r="C84" s="3">
        <v>49.15</v>
      </c>
      <c r="D84" s="3">
        <v>4.25</v>
      </c>
      <c r="E84" s="3">
        <v>49.14</v>
      </c>
      <c r="F84" s="4">
        <f t="shared" si="16"/>
        <v>1.28</v>
      </c>
      <c r="G84" s="4">
        <f t="shared" si="17"/>
        <v>-0.01</v>
      </c>
      <c r="H84" s="5">
        <f t="shared" si="18"/>
        <v>12</v>
      </c>
      <c r="I84" s="5">
        <f t="shared" si="19"/>
        <v>41</v>
      </c>
      <c r="J84" s="5">
        <f t="shared" si="20"/>
        <v>35.5</v>
      </c>
      <c r="K84" s="5">
        <f t="shared" si="21"/>
        <v>50</v>
      </c>
      <c r="L84" s="5">
        <f t="shared" si="22"/>
        <v>105.5</v>
      </c>
      <c r="M84" s="5">
        <f t="shared" si="23"/>
        <v>72</v>
      </c>
    </row>
    <row r="85" spans="1:13" ht="22.05" customHeight="1">
      <c r="A85" s="1" t="s">
        <v>96</v>
      </c>
      <c r="B85" s="3">
        <v>4.84</v>
      </c>
      <c r="C85" s="3">
        <v>49.96</v>
      </c>
      <c r="D85" s="3">
        <v>4.08</v>
      </c>
      <c r="E85" s="3">
        <v>49.13</v>
      </c>
      <c r="F85" s="4">
        <f t="shared" si="16"/>
        <v>-0.76</v>
      </c>
      <c r="G85" s="4">
        <f t="shared" si="17"/>
        <v>-0.83</v>
      </c>
      <c r="H85" s="5">
        <f t="shared" si="18"/>
        <v>40</v>
      </c>
      <c r="I85" s="5">
        <f t="shared" si="19"/>
        <v>64</v>
      </c>
      <c r="J85" s="5">
        <f t="shared" si="20"/>
        <v>31.5</v>
      </c>
      <c r="K85" s="5">
        <f t="shared" si="21"/>
        <v>49</v>
      </c>
      <c r="L85" s="5">
        <f t="shared" si="22"/>
        <v>41</v>
      </c>
      <c r="M85" s="5">
        <f t="shared" si="23"/>
        <v>33</v>
      </c>
    </row>
    <row r="86" spans="1:13" ht="22.05" customHeight="1">
      <c r="A86" s="1" t="s">
        <v>97</v>
      </c>
      <c r="B86" s="3">
        <v>1.66</v>
      </c>
      <c r="C86" s="3">
        <v>49.24</v>
      </c>
      <c r="D86" s="3">
        <v>1.54</v>
      </c>
      <c r="E86" s="3">
        <v>49.32</v>
      </c>
      <c r="F86" s="4">
        <f t="shared" si="16"/>
        <v>-0.12</v>
      </c>
      <c r="G86" s="4">
        <f t="shared" si="17"/>
        <v>0.08</v>
      </c>
      <c r="H86" s="5">
        <f t="shared" si="18"/>
        <v>3</v>
      </c>
      <c r="I86" s="5">
        <f t="shared" si="19"/>
        <v>43</v>
      </c>
      <c r="J86" s="5">
        <f t="shared" si="20"/>
        <v>4</v>
      </c>
      <c r="K86" s="5">
        <f t="shared" si="21"/>
        <v>58</v>
      </c>
      <c r="L86" s="5">
        <f t="shared" si="22"/>
        <v>64.5</v>
      </c>
      <c r="M86" s="5">
        <f t="shared" si="23"/>
        <v>77</v>
      </c>
    </row>
    <row r="87" spans="1:13" ht="22.05" customHeight="1">
      <c r="A87" s="1" t="s">
        <v>98</v>
      </c>
      <c r="B87" s="3">
        <v>5.52</v>
      </c>
      <c r="C87" s="3">
        <v>48.54</v>
      </c>
      <c r="D87" s="3">
        <v>7.67</v>
      </c>
      <c r="E87" s="3">
        <v>48.75</v>
      </c>
      <c r="F87" s="4">
        <f t="shared" si="16"/>
        <v>2.15</v>
      </c>
      <c r="G87" s="4">
        <f t="shared" si="17"/>
        <v>0.21</v>
      </c>
      <c r="H87" s="5">
        <f t="shared" si="18"/>
        <v>53</v>
      </c>
      <c r="I87" s="5">
        <f t="shared" si="19"/>
        <v>32</v>
      </c>
      <c r="J87" s="5">
        <f t="shared" si="20"/>
        <v>79</v>
      </c>
      <c r="K87" s="5">
        <f t="shared" si="21"/>
        <v>44</v>
      </c>
      <c r="L87" s="5">
        <f t="shared" si="22"/>
        <v>112.5</v>
      </c>
      <c r="M87" s="5">
        <f t="shared" si="23"/>
        <v>82</v>
      </c>
    </row>
    <row r="88" spans="1:13" ht="22.05" customHeight="1">
      <c r="A88" s="1" t="s">
        <v>99</v>
      </c>
      <c r="B88" s="3">
        <v>3.25</v>
      </c>
      <c r="C88" s="3">
        <v>49.72</v>
      </c>
      <c r="D88" s="3">
        <v>2.9</v>
      </c>
      <c r="E88" s="3">
        <v>49.06</v>
      </c>
      <c r="F88" s="4">
        <f t="shared" si="16"/>
        <v>-0.35</v>
      </c>
      <c r="G88" s="4">
        <f t="shared" si="17"/>
        <v>-0.66</v>
      </c>
      <c r="H88" s="5">
        <f t="shared" si="18"/>
        <v>15</v>
      </c>
      <c r="I88" s="5">
        <f t="shared" si="19"/>
        <v>58</v>
      </c>
      <c r="J88" s="5">
        <f t="shared" si="20"/>
        <v>20.5</v>
      </c>
      <c r="K88" s="5">
        <f t="shared" si="21"/>
        <v>48</v>
      </c>
      <c r="L88" s="5">
        <f t="shared" si="22"/>
        <v>51</v>
      </c>
      <c r="M88" s="5">
        <f t="shared" si="23"/>
        <v>40</v>
      </c>
    </row>
    <row r="89" spans="1:13" ht="22.05" customHeight="1">
      <c r="A89" s="1" t="s">
        <v>100</v>
      </c>
      <c r="B89" s="3">
        <v>10.18</v>
      </c>
      <c r="C89" s="3">
        <v>49.42</v>
      </c>
      <c r="D89" s="3">
        <v>6.76</v>
      </c>
      <c r="E89" s="3">
        <v>48.52</v>
      </c>
      <c r="F89" s="4">
        <f t="shared" si="16"/>
        <v>-3.42</v>
      </c>
      <c r="G89" s="4">
        <f t="shared" si="17"/>
        <v>-0.9</v>
      </c>
      <c r="H89" s="5">
        <f t="shared" si="18"/>
        <v>90</v>
      </c>
      <c r="I89" s="5">
        <f t="shared" si="19"/>
        <v>49</v>
      </c>
      <c r="J89" s="5">
        <f t="shared" si="20"/>
        <v>70</v>
      </c>
      <c r="K89" s="5">
        <f t="shared" si="21"/>
        <v>40</v>
      </c>
      <c r="L89" s="5">
        <f t="shared" si="22"/>
        <v>3</v>
      </c>
      <c r="M89" s="5">
        <f t="shared" si="23"/>
        <v>30</v>
      </c>
    </row>
    <row r="90" spans="1:13" ht="22.05" customHeight="1">
      <c r="A90" s="1" t="s">
        <v>101</v>
      </c>
      <c r="B90" s="3">
        <v>10.86</v>
      </c>
      <c r="C90" s="3">
        <v>48.09</v>
      </c>
      <c r="D90" s="3">
        <v>7.59</v>
      </c>
      <c r="E90" s="3">
        <v>48.64</v>
      </c>
      <c r="F90" s="4">
        <f t="shared" si="16"/>
        <v>-3.27</v>
      </c>
      <c r="G90" s="4">
        <f t="shared" si="17"/>
        <v>0.55000000000000004</v>
      </c>
      <c r="H90" s="5">
        <f t="shared" si="18"/>
        <v>97</v>
      </c>
      <c r="I90" s="5">
        <f t="shared" si="19"/>
        <v>26</v>
      </c>
      <c r="J90" s="5">
        <f t="shared" si="20"/>
        <v>76</v>
      </c>
      <c r="K90" s="5">
        <f t="shared" si="21"/>
        <v>42.5</v>
      </c>
      <c r="L90" s="5">
        <f t="shared" si="22"/>
        <v>4</v>
      </c>
      <c r="M90" s="5">
        <f t="shared" si="23"/>
        <v>100</v>
      </c>
    </row>
    <row r="91" spans="1:13" ht="22.05" customHeight="1">
      <c r="A91" s="1" t="s">
        <v>102</v>
      </c>
      <c r="B91" s="3">
        <v>13.95</v>
      </c>
      <c r="C91" s="3">
        <v>48.76</v>
      </c>
      <c r="D91" s="3">
        <v>14.12</v>
      </c>
      <c r="E91" s="3">
        <v>47.24</v>
      </c>
      <c r="F91" s="4">
        <f t="shared" si="16"/>
        <v>0.17</v>
      </c>
      <c r="G91" s="4">
        <f t="shared" si="17"/>
        <v>-1.52</v>
      </c>
      <c r="H91" s="5">
        <f t="shared" si="18"/>
        <v>111</v>
      </c>
      <c r="I91" s="5">
        <f t="shared" si="19"/>
        <v>35</v>
      </c>
      <c r="J91" s="5">
        <f t="shared" si="20"/>
        <v>108</v>
      </c>
      <c r="K91" s="5">
        <f t="shared" si="21"/>
        <v>21</v>
      </c>
      <c r="L91" s="5">
        <f t="shared" si="22"/>
        <v>76.5</v>
      </c>
      <c r="M91" s="5">
        <f t="shared" si="23"/>
        <v>12</v>
      </c>
    </row>
    <row r="92" spans="1:13" ht="22.05" customHeight="1">
      <c r="A92" s="1" t="s">
        <v>103</v>
      </c>
      <c r="B92" s="3">
        <v>9.56</v>
      </c>
      <c r="C92" s="3">
        <v>49.55</v>
      </c>
      <c r="D92" s="3">
        <v>7.28</v>
      </c>
      <c r="E92" s="3">
        <v>48.42</v>
      </c>
      <c r="F92" s="4">
        <f t="shared" si="16"/>
        <v>-2.2799999999999998</v>
      </c>
      <c r="G92" s="4">
        <f t="shared" si="17"/>
        <v>-1.1299999999999999</v>
      </c>
      <c r="H92" s="5">
        <f t="shared" si="18"/>
        <v>88</v>
      </c>
      <c r="I92" s="5">
        <f t="shared" si="19"/>
        <v>52</v>
      </c>
      <c r="J92" s="5">
        <f t="shared" si="20"/>
        <v>73</v>
      </c>
      <c r="K92" s="5">
        <f t="shared" si="21"/>
        <v>37</v>
      </c>
      <c r="L92" s="5">
        <f t="shared" si="22"/>
        <v>9</v>
      </c>
      <c r="M92" s="5">
        <f t="shared" si="23"/>
        <v>17</v>
      </c>
    </row>
    <row r="93" spans="1:13" ht="22.05" customHeight="1">
      <c r="A93" s="1" t="s">
        <v>104</v>
      </c>
      <c r="B93" s="3">
        <v>6.96</v>
      </c>
      <c r="C93" s="3">
        <v>48.84</v>
      </c>
      <c r="D93" s="3">
        <v>6.89</v>
      </c>
      <c r="E93" s="3">
        <v>48.35</v>
      </c>
      <c r="F93" s="4">
        <f t="shared" si="16"/>
        <v>-7.0000000000000007E-2</v>
      </c>
      <c r="G93" s="4">
        <f t="shared" si="17"/>
        <v>-0.49</v>
      </c>
      <c r="H93" s="5">
        <f t="shared" si="18"/>
        <v>72</v>
      </c>
      <c r="I93" s="5">
        <f t="shared" si="19"/>
        <v>37</v>
      </c>
      <c r="J93" s="5">
        <f t="shared" si="20"/>
        <v>72</v>
      </c>
      <c r="K93" s="5">
        <f t="shared" si="21"/>
        <v>36</v>
      </c>
      <c r="L93" s="5">
        <f t="shared" si="22"/>
        <v>67.5</v>
      </c>
      <c r="M93" s="5">
        <f t="shared" si="23"/>
        <v>48</v>
      </c>
    </row>
    <row r="94" spans="1:13" ht="22.05" customHeight="1">
      <c r="A94" s="1" t="s">
        <v>105</v>
      </c>
      <c r="B94" s="3">
        <v>4.43</v>
      </c>
      <c r="C94" s="3">
        <v>47.99</v>
      </c>
      <c r="D94" s="3">
        <v>5.07</v>
      </c>
      <c r="E94" s="3">
        <v>48.57</v>
      </c>
      <c r="F94" s="4">
        <f t="shared" si="16"/>
        <v>0.64</v>
      </c>
      <c r="G94" s="4">
        <f t="shared" si="17"/>
        <v>0.57999999999999996</v>
      </c>
      <c r="H94" s="5">
        <f t="shared" si="18"/>
        <v>34</v>
      </c>
      <c r="I94" s="5">
        <f t="shared" si="19"/>
        <v>24</v>
      </c>
      <c r="J94" s="5">
        <f t="shared" si="20"/>
        <v>52</v>
      </c>
      <c r="K94" s="5">
        <f t="shared" si="21"/>
        <v>41</v>
      </c>
      <c r="L94" s="5">
        <f t="shared" si="22"/>
        <v>90.5</v>
      </c>
      <c r="M94" s="5">
        <f t="shared" si="23"/>
        <v>103.5</v>
      </c>
    </row>
    <row r="95" spans="1:13" ht="22.05" customHeight="1">
      <c r="A95" s="1" t="s">
        <v>106</v>
      </c>
      <c r="B95" s="3">
        <v>6.08</v>
      </c>
      <c r="C95" s="3">
        <v>49.85</v>
      </c>
      <c r="D95" s="3">
        <v>4.63</v>
      </c>
      <c r="E95" s="3">
        <v>48.21</v>
      </c>
      <c r="F95" s="4">
        <f t="shared" si="16"/>
        <v>-1.45</v>
      </c>
      <c r="G95" s="4">
        <f t="shared" si="17"/>
        <v>-1.64</v>
      </c>
      <c r="H95" s="5">
        <f t="shared" si="18"/>
        <v>62</v>
      </c>
      <c r="I95" s="5">
        <f t="shared" si="19"/>
        <v>62</v>
      </c>
      <c r="J95" s="5">
        <f t="shared" si="20"/>
        <v>44</v>
      </c>
      <c r="K95" s="5">
        <f t="shared" si="21"/>
        <v>34</v>
      </c>
      <c r="L95" s="5">
        <f t="shared" si="22"/>
        <v>23.5</v>
      </c>
      <c r="M95" s="5">
        <f t="shared" si="23"/>
        <v>11</v>
      </c>
    </row>
    <row r="96" spans="1:13" ht="22.05" customHeight="1">
      <c r="A96" s="1" t="s">
        <v>107</v>
      </c>
      <c r="B96" s="3">
        <v>4.05</v>
      </c>
      <c r="C96" s="3">
        <v>48.1</v>
      </c>
      <c r="D96" s="3">
        <v>4.96</v>
      </c>
      <c r="E96" s="3">
        <v>48.28</v>
      </c>
      <c r="F96" s="4">
        <f t="shared" si="16"/>
        <v>0.91</v>
      </c>
      <c r="G96" s="4">
        <f t="shared" si="17"/>
        <v>0.18</v>
      </c>
      <c r="H96" s="5">
        <f t="shared" si="18"/>
        <v>24</v>
      </c>
      <c r="I96" s="5">
        <f t="shared" si="19"/>
        <v>27.5</v>
      </c>
      <c r="J96" s="5">
        <f t="shared" si="20"/>
        <v>49</v>
      </c>
      <c r="K96" s="5">
        <f t="shared" si="21"/>
        <v>35</v>
      </c>
      <c r="L96" s="5">
        <f t="shared" si="22"/>
        <v>97</v>
      </c>
      <c r="M96" s="5">
        <f t="shared" si="23"/>
        <v>81</v>
      </c>
    </row>
    <row r="97" spans="1:13" ht="22.05" customHeight="1">
      <c r="A97" s="1" t="s">
        <v>108</v>
      </c>
      <c r="B97" s="3">
        <v>1.95</v>
      </c>
      <c r="C97" s="3">
        <v>49.48</v>
      </c>
      <c r="D97" s="3">
        <v>1.72</v>
      </c>
      <c r="E97" s="3">
        <v>48.48</v>
      </c>
      <c r="F97" s="4">
        <f t="shared" si="16"/>
        <v>-0.23</v>
      </c>
      <c r="G97" s="4">
        <f t="shared" si="17"/>
        <v>-1</v>
      </c>
      <c r="H97" s="5">
        <f t="shared" si="18"/>
        <v>5.5</v>
      </c>
      <c r="I97" s="5">
        <f t="shared" si="19"/>
        <v>51</v>
      </c>
      <c r="J97" s="5">
        <f t="shared" si="20"/>
        <v>5</v>
      </c>
      <c r="K97" s="5">
        <f t="shared" si="21"/>
        <v>39</v>
      </c>
      <c r="L97" s="5">
        <f t="shared" si="22"/>
        <v>55</v>
      </c>
      <c r="M97" s="5">
        <f t="shared" si="23"/>
        <v>24.5</v>
      </c>
    </row>
    <row r="98" spans="1:13" ht="22.05" customHeight="1">
      <c r="A98" s="1" t="s">
        <v>109</v>
      </c>
      <c r="B98" s="3">
        <v>4.93</v>
      </c>
      <c r="C98" s="3">
        <v>46.63</v>
      </c>
      <c r="D98" s="3">
        <v>5.75</v>
      </c>
      <c r="E98" s="3">
        <v>47.83</v>
      </c>
      <c r="F98" s="4">
        <f t="shared" ref="F98:F128" si="24">ROUND(D98-B98,2)</f>
        <v>0.82</v>
      </c>
      <c r="G98" s="4">
        <f t="shared" ref="G98:G128" si="25">ROUND(E98-C98,2)</f>
        <v>1.2</v>
      </c>
      <c r="H98" s="5">
        <f t="shared" ref="H98:H128" si="26">RANK(B98,B$2:B$128,1)+(COUNTIF(B$2:B$128,B98)-1)/2</f>
        <v>44</v>
      </c>
      <c r="I98" s="5">
        <f t="shared" ref="I98:I128" si="27">RANK(C98,C$2:C$128,1)+(COUNTIF(C$2:C$128,C98)-1)/2</f>
        <v>12</v>
      </c>
      <c r="J98" s="5">
        <f t="shared" ref="J98:J128" si="28">RANK(D98,D$2:D$128,1)+(COUNTIF(D$2:D$128,D98)-1)/2</f>
        <v>62</v>
      </c>
      <c r="K98" s="5">
        <f t="shared" ref="K98:K128" si="29">RANK(E98,E$2:E$128,1)+(COUNTIF(E$2:E$128,E98)-1)/2</f>
        <v>32</v>
      </c>
      <c r="L98" s="5">
        <f t="shared" ref="L98:L128" si="30">RANK(F98,F$2:F$128,1)+(COUNTIF(F$2:F$128,F98)-1)/2</f>
        <v>96</v>
      </c>
      <c r="M98" s="5">
        <f t="shared" ref="M98:M128" si="31">RANK(G98,G$2:G$128,1)+(COUNTIF(G$2:G$128,G98)-1)/2</f>
        <v>121</v>
      </c>
    </row>
    <row r="99" spans="1:13" ht="22.05" customHeight="1">
      <c r="A99" s="1" t="s">
        <v>110</v>
      </c>
      <c r="B99" s="3">
        <v>3.38</v>
      </c>
      <c r="C99" s="3">
        <v>47.82</v>
      </c>
      <c r="D99" s="3">
        <v>1.83</v>
      </c>
      <c r="E99" s="3">
        <v>48.16</v>
      </c>
      <c r="F99" s="4">
        <f t="shared" si="24"/>
        <v>-1.55</v>
      </c>
      <c r="G99" s="4">
        <f t="shared" si="25"/>
        <v>0.34</v>
      </c>
      <c r="H99" s="5">
        <f t="shared" si="26"/>
        <v>17</v>
      </c>
      <c r="I99" s="5">
        <f t="shared" si="27"/>
        <v>22</v>
      </c>
      <c r="J99" s="5">
        <f t="shared" si="28"/>
        <v>6</v>
      </c>
      <c r="K99" s="5">
        <f t="shared" si="29"/>
        <v>33</v>
      </c>
      <c r="L99" s="5">
        <f t="shared" si="30"/>
        <v>21</v>
      </c>
      <c r="M99" s="5">
        <f t="shared" si="31"/>
        <v>89</v>
      </c>
    </row>
    <row r="100" spans="1:13" ht="22.05" customHeight="1">
      <c r="A100" s="1" t="s">
        <v>111</v>
      </c>
      <c r="B100" s="3">
        <v>12.05</v>
      </c>
      <c r="C100" s="3">
        <v>48.06</v>
      </c>
      <c r="D100" s="3">
        <v>8.34</v>
      </c>
      <c r="E100" s="3">
        <v>47.52</v>
      </c>
      <c r="F100" s="4">
        <f t="shared" si="24"/>
        <v>-3.71</v>
      </c>
      <c r="G100" s="4">
        <f t="shared" si="25"/>
        <v>-0.54</v>
      </c>
      <c r="H100" s="5">
        <f t="shared" si="26"/>
        <v>105</v>
      </c>
      <c r="I100" s="5">
        <f t="shared" si="27"/>
        <v>25</v>
      </c>
      <c r="J100" s="5">
        <f t="shared" si="28"/>
        <v>82</v>
      </c>
      <c r="K100" s="5">
        <f t="shared" si="29"/>
        <v>26</v>
      </c>
      <c r="L100" s="5">
        <f t="shared" si="30"/>
        <v>2</v>
      </c>
      <c r="M100" s="5">
        <f t="shared" si="31"/>
        <v>45</v>
      </c>
    </row>
    <row r="101" spans="1:13" ht="22.05" customHeight="1">
      <c r="A101" s="1" t="s">
        <v>112</v>
      </c>
      <c r="B101" s="3">
        <v>5.72</v>
      </c>
      <c r="C101" s="3">
        <v>47.88</v>
      </c>
      <c r="D101" s="3">
        <v>4.8499999999999996</v>
      </c>
      <c r="E101" s="3">
        <v>47.78</v>
      </c>
      <c r="F101" s="4">
        <f t="shared" si="24"/>
        <v>-0.87</v>
      </c>
      <c r="G101" s="4">
        <f t="shared" si="25"/>
        <v>-0.1</v>
      </c>
      <c r="H101" s="5">
        <f t="shared" si="26"/>
        <v>57</v>
      </c>
      <c r="I101" s="5">
        <f t="shared" si="27"/>
        <v>23</v>
      </c>
      <c r="J101" s="5">
        <f t="shared" si="28"/>
        <v>47</v>
      </c>
      <c r="K101" s="5">
        <f t="shared" si="29"/>
        <v>30.5</v>
      </c>
      <c r="L101" s="5">
        <f t="shared" si="30"/>
        <v>36</v>
      </c>
      <c r="M101" s="5">
        <f t="shared" si="31"/>
        <v>67</v>
      </c>
    </row>
    <row r="102" spans="1:13" ht="22.05" customHeight="1">
      <c r="A102" s="1" t="s">
        <v>113</v>
      </c>
      <c r="B102" s="3">
        <v>10.8</v>
      </c>
      <c r="C102" s="3">
        <v>48.14</v>
      </c>
      <c r="D102" s="3">
        <v>12.2</v>
      </c>
      <c r="E102" s="3">
        <v>47.05</v>
      </c>
      <c r="F102" s="4">
        <f t="shared" si="24"/>
        <v>1.4</v>
      </c>
      <c r="G102" s="4">
        <f t="shared" si="25"/>
        <v>-1.0900000000000001</v>
      </c>
      <c r="H102" s="5">
        <f t="shared" si="26"/>
        <v>96</v>
      </c>
      <c r="I102" s="5">
        <f t="shared" si="27"/>
        <v>29</v>
      </c>
      <c r="J102" s="5">
        <f t="shared" si="28"/>
        <v>98</v>
      </c>
      <c r="K102" s="5">
        <f t="shared" si="29"/>
        <v>19</v>
      </c>
      <c r="L102" s="5">
        <f t="shared" si="30"/>
        <v>107</v>
      </c>
      <c r="M102" s="5">
        <f t="shared" si="31"/>
        <v>19</v>
      </c>
    </row>
    <row r="103" spans="1:13" ht="22.05" customHeight="1">
      <c r="A103" s="1" t="s">
        <v>114</v>
      </c>
      <c r="B103" s="3">
        <v>5.19</v>
      </c>
      <c r="C103" s="3">
        <v>46.87</v>
      </c>
      <c r="D103" s="3">
        <v>4.13</v>
      </c>
      <c r="E103" s="3">
        <v>47.51</v>
      </c>
      <c r="F103" s="4">
        <f t="shared" si="24"/>
        <v>-1.06</v>
      </c>
      <c r="G103" s="4">
        <f t="shared" si="25"/>
        <v>0.64</v>
      </c>
      <c r="H103" s="5">
        <f t="shared" si="26"/>
        <v>48</v>
      </c>
      <c r="I103" s="5">
        <f t="shared" si="27"/>
        <v>16</v>
      </c>
      <c r="J103" s="5">
        <f t="shared" si="28"/>
        <v>33</v>
      </c>
      <c r="K103" s="5">
        <f t="shared" si="29"/>
        <v>25</v>
      </c>
      <c r="L103" s="5">
        <f t="shared" si="30"/>
        <v>31</v>
      </c>
      <c r="M103" s="5">
        <f t="shared" si="31"/>
        <v>107</v>
      </c>
    </row>
    <row r="104" spans="1:13" ht="22.05" customHeight="1">
      <c r="A104" s="1" t="s">
        <v>115</v>
      </c>
      <c r="B104" s="3">
        <v>8.2899999999999991</v>
      </c>
      <c r="C104" s="3">
        <v>48.45</v>
      </c>
      <c r="D104" s="3">
        <v>5.18</v>
      </c>
      <c r="E104" s="3">
        <v>47.58</v>
      </c>
      <c r="F104" s="4">
        <f t="shared" si="24"/>
        <v>-3.11</v>
      </c>
      <c r="G104" s="4">
        <f t="shared" si="25"/>
        <v>-0.87</v>
      </c>
      <c r="H104" s="5">
        <f t="shared" si="26"/>
        <v>80</v>
      </c>
      <c r="I104" s="5">
        <f t="shared" si="27"/>
        <v>30</v>
      </c>
      <c r="J104" s="5">
        <f t="shared" si="28"/>
        <v>54</v>
      </c>
      <c r="K104" s="5">
        <f t="shared" si="29"/>
        <v>28</v>
      </c>
      <c r="L104" s="5">
        <f t="shared" si="30"/>
        <v>5</v>
      </c>
      <c r="M104" s="5">
        <f t="shared" si="31"/>
        <v>31</v>
      </c>
    </row>
    <row r="105" spans="1:13" ht="22.05" customHeight="1">
      <c r="A105" s="1" t="s">
        <v>116</v>
      </c>
      <c r="B105" s="3">
        <v>13.52</v>
      </c>
      <c r="C105" s="3">
        <v>49.78</v>
      </c>
      <c r="D105" s="3">
        <v>15.09</v>
      </c>
      <c r="E105" s="3">
        <v>46.35</v>
      </c>
      <c r="F105" s="4">
        <f t="shared" si="24"/>
        <v>1.57</v>
      </c>
      <c r="G105" s="4">
        <f t="shared" si="25"/>
        <v>-3.43</v>
      </c>
      <c r="H105" s="5">
        <f t="shared" si="26"/>
        <v>108</v>
      </c>
      <c r="I105" s="5">
        <f t="shared" si="27"/>
        <v>60</v>
      </c>
      <c r="J105" s="5">
        <f t="shared" si="28"/>
        <v>112</v>
      </c>
      <c r="K105" s="5">
        <f t="shared" si="29"/>
        <v>16</v>
      </c>
      <c r="L105" s="5">
        <f t="shared" si="30"/>
        <v>110</v>
      </c>
      <c r="M105" s="5">
        <f t="shared" si="31"/>
        <v>3</v>
      </c>
    </row>
    <row r="106" spans="1:13" ht="22.05" customHeight="1">
      <c r="A106" s="1" t="s">
        <v>117</v>
      </c>
      <c r="B106" s="3">
        <v>2.73</v>
      </c>
      <c r="C106" s="3">
        <v>48.73</v>
      </c>
      <c r="D106" s="3">
        <v>2.61</v>
      </c>
      <c r="E106" s="3">
        <v>47.78</v>
      </c>
      <c r="F106" s="4">
        <f t="shared" si="24"/>
        <v>-0.12</v>
      </c>
      <c r="G106" s="4">
        <f t="shared" si="25"/>
        <v>-0.95</v>
      </c>
      <c r="H106" s="5">
        <f t="shared" si="26"/>
        <v>10</v>
      </c>
      <c r="I106" s="5">
        <f t="shared" si="27"/>
        <v>34</v>
      </c>
      <c r="J106" s="5">
        <f t="shared" si="28"/>
        <v>17</v>
      </c>
      <c r="K106" s="5">
        <f t="shared" si="29"/>
        <v>30.5</v>
      </c>
      <c r="L106" s="5">
        <f t="shared" si="30"/>
        <v>64.5</v>
      </c>
      <c r="M106" s="5">
        <f t="shared" si="31"/>
        <v>27</v>
      </c>
    </row>
    <row r="107" spans="1:13" ht="22.05" customHeight="1">
      <c r="A107" s="1" t="s">
        <v>118</v>
      </c>
      <c r="B107" s="3">
        <v>4.1500000000000004</v>
      </c>
      <c r="C107" s="3">
        <v>49.59</v>
      </c>
      <c r="D107" s="3">
        <v>2.42</v>
      </c>
      <c r="E107" s="3">
        <v>47.69</v>
      </c>
      <c r="F107" s="4">
        <f t="shared" si="24"/>
        <v>-1.73</v>
      </c>
      <c r="G107" s="4">
        <f t="shared" si="25"/>
        <v>-1.9</v>
      </c>
      <c r="H107" s="5">
        <f t="shared" si="26"/>
        <v>26</v>
      </c>
      <c r="I107" s="5">
        <f t="shared" si="27"/>
        <v>54</v>
      </c>
      <c r="J107" s="5">
        <f t="shared" si="28"/>
        <v>13</v>
      </c>
      <c r="K107" s="5">
        <f t="shared" si="29"/>
        <v>29</v>
      </c>
      <c r="L107" s="5">
        <f t="shared" si="30"/>
        <v>17.5</v>
      </c>
      <c r="M107" s="5">
        <f t="shared" si="31"/>
        <v>5.5</v>
      </c>
    </row>
    <row r="108" spans="1:13" ht="22.05" customHeight="1">
      <c r="A108" s="1" t="s">
        <v>119</v>
      </c>
      <c r="B108" s="3">
        <v>4.2699999999999996</v>
      </c>
      <c r="C108" s="3">
        <v>47.77</v>
      </c>
      <c r="D108" s="3">
        <v>2.73</v>
      </c>
      <c r="E108" s="3">
        <v>47.45</v>
      </c>
      <c r="F108" s="4">
        <f t="shared" si="24"/>
        <v>-1.54</v>
      </c>
      <c r="G108" s="4">
        <f t="shared" si="25"/>
        <v>-0.32</v>
      </c>
      <c r="H108" s="5">
        <f t="shared" si="26"/>
        <v>30</v>
      </c>
      <c r="I108" s="5">
        <f t="shared" si="27"/>
        <v>21</v>
      </c>
      <c r="J108" s="5">
        <f t="shared" si="28"/>
        <v>19</v>
      </c>
      <c r="K108" s="5">
        <f t="shared" si="29"/>
        <v>24</v>
      </c>
      <c r="L108" s="5">
        <f t="shared" si="30"/>
        <v>22</v>
      </c>
      <c r="M108" s="5">
        <f t="shared" si="31"/>
        <v>57</v>
      </c>
    </row>
    <row r="109" spans="1:13" ht="22.05" customHeight="1">
      <c r="A109" s="1" t="s">
        <v>120</v>
      </c>
      <c r="B109" s="3">
        <v>3.92</v>
      </c>
      <c r="C109" s="3">
        <v>46.12</v>
      </c>
      <c r="D109" s="3">
        <v>4.03</v>
      </c>
      <c r="E109" s="3">
        <v>47.33</v>
      </c>
      <c r="F109" s="4">
        <f t="shared" si="24"/>
        <v>0.11</v>
      </c>
      <c r="G109" s="4">
        <f t="shared" si="25"/>
        <v>1.21</v>
      </c>
      <c r="H109" s="5">
        <f t="shared" si="26"/>
        <v>21</v>
      </c>
      <c r="I109" s="5">
        <f t="shared" si="27"/>
        <v>7</v>
      </c>
      <c r="J109" s="5">
        <f t="shared" si="28"/>
        <v>30</v>
      </c>
      <c r="K109" s="5">
        <f t="shared" si="29"/>
        <v>23</v>
      </c>
      <c r="L109" s="5">
        <f t="shared" si="30"/>
        <v>74</v>
      </c>
      <c r="M109" s="5">
        <f t="shared" si="31"/>
        <v>122</v>
      </c>
    </row>
    <row r="110" spans="1:13" ht="22.05" customHeight="1">
      <c r="A110" s="1" t="s">
        <v>121</v>
      </c>
      <c r="B110" s="3">
        <v>6.59</v>
      </c>
      <c r="C110" s="3">
        <v>46.68</v>
      </c>
      <c r="D110" s="3">
        <v>3.75</v>
      </c>
      <c r="E110" s="3">
        <v>47.29</v>
      </c>
      <c r="F110" s="4">
        <f t="shared" si="24"/>
        <v>-2.84</v>
      </c>
      <c r="G110" s="4">
        <f t="shared" si="25"/>
        <v>0.61</v>
      </c>
      <c r="H110" s="5">
        <f t="shared" si="26"/>
        <v>66</v>
      </c>
      <c r="I110" s="5">
        <f t="shared" si="27"/>
        <v>13</v>
      </c>
      <c r="J110" s="5">
        <f t="shared" si="28"/>
        <v>27</v>
      </c>
      <c r="K110" s="5">
        <f t="shared" si="29"/>
        <v>22</v>
      </c>
      <c r="L110" s="5">
        <f t="shared" si="30"/>
        <v>6</v>
      </c>
      <c r="M110" s="5">
        <f t="shared" si="31"/>
        <v>105.5</v>
      </c>
    </row>
    <row r="111" spans="1:13" ht="22.05" customHeight="1">
      <c r="A111" s="1" t="s">
        <v>122</v>
      </c>
      <c r="B111" s="3">
        <v>5.7</v>
      </c>
      <c r="C111" s="3">
        <v>47.53</v>
      </c>
      <c r="D111" s="3">
        <v>4.66</v>
      </c>
      <c r="E111" s="3">
        <v>45.84</v>
      </c>
      <c r="F111" s="4">
        <f t="shared" si="24"/>
        <v>-1.04</v>
      </c>
      <c r="G111" s="4">
        <f t="shared" si="25"/>
        <v>-1.69</v>
      </c>
      <c r="H111" s="5">
        <f t="shared" si="26"/>
        <v>56</v>
      </c>
      <c r="I111" s="5">
        <f t="shared" si="27"/>
        <v>19</v>
      </c>
      <c r="J111" s="5">
        <f t="shared" si="28"/>
        <v>46</v>
      </c>
      <c r="K111" s="5">
        <f t="shared" si="29"/>
        <v>13</v>
      </c>
      <c r="L111" s="5">
        <f t="shared" si="30"/>
        <v>32</v>
      </c>
      <c r="M111" s="5">
        <f t="shared" si="31"/>
        <v>8.5</v>
      </c>
    </row>
    <row r="112" spans="1:13" ht="22.05" customHeight="1">
      <c r="A112" s="1" t="s">
        <v>123</v>
      </c>
      <c r="B112" s="3">
        <v>5.33</v>
      </c>
      <c r="C112" s="3">
        <v>49.44</v>
      </c>
      <c r="D112" s="3">
        <v>2.99</v>
      </c>
      <c r="E112" s="3">
        <v>47.09</v>
      </c>
      <c r="F112" s="4">
        <f t="shared" si="24"/>
        <v>-2.34</v>
      </c>
      <c r="G112" s="4">
        <f t="shared" si="25"/>
        <v>-2.35</v>
      </c>
      <c r="H112" s="5">
        <f t="shared" si="26"/>
        <v>51</v>
      </c>
      <c r="I112" s="5">
        <f t="shared" si="27"/>
        <v>50</v>
      </c>
      <c r="J112" s="5">
        <f t="shared" si="28"/>
        <v>22</v>
      </c>
      <c r="K112" s="5">
        <f t="shared" si="29"/>
        <v>20</v>
      </c>
      <c r="L112" s="5">
        <f t="shared" si="30"/>
        <v>7</v>
      </c>
      <c r="M112" s="5">
        <f t="shared" si="31"/>
        <v>4</v>
      </c>
    </row>
    <row r="113" spans="1:13" ht="22.05" customHeight="1">
      <c r="A113" s="1" t="s">
        <v>124</v>
      </c>
      <c r="B113" s="3">
        <v>4.87</v>
      </c>
      <c r="C113" s="3">
        <v>47.48</v>
      </c>
      <c r="D113" s="3">
        <v>3.12</v>
      </c>
      <c r="E113" s="3">
        <v>46.56</v>
      </c>
      <c r="F113" s="4">
        <f t="shared" si="24"/>
        <v>-1.75</v>
      </c>
      <c r="G113" s="4">
        <f t="shared" si="25"/>
        <v>-0.92</v>
      </c>
      <c r="H113" s="5">
        <f t="shared" si="26"/>
        <v>42</v>
      </c>
      <c r="I113" s="5">
        <f t="shared" si="27"/>
        <v>18</v>
      </c>
      <c r="J113" s="5">
        <f t="shared" si="28"/>
        <v>24</v>
      </c>
      <c r="K113" s="5">
        <f t="shared" si="29"/>
        <v>18</v>
      </c>
      <c r="L113" s="5">
        <f t="shared" si="30"/>
        <v>16</v>
      </c>
      <c r="M113" s="5">
        <f t="shared" si="31"/>
        <v>28.5</v>
      </c>
    </row>
    <row r="114" spans="1:13" ht="22.05" customHeight="1">
      <c r="A114" s="1" t="s">
        <v>125</v>
      </c>
      <c r="B114" s="3">
        <v>7.13</v>
      </c>
      <c r="C114" s="3">
        <v>47.28</v>
      </c>
      <c r="D114" s="3">
        <v>5.68</v>
      </c>
      <c r="E114" s="3">
        <v>46.22</v>
      </c>
      <c r="F114" s="4">
        <f t="shared" si="24"/>
        <v>-1.45</v>
      </c>
      <c r="G114" s="4">
        <f t="shared" si="25"/>
        <v>-1.06</v>
      </c>
      <c r="H114" s="5">
        <f t="shared" si="26"/>
        <v>75</v>
      </c>
      <c r="I114" s="5">
        <f t="shared" si="27"/>
        <v>17</v>
      </c>
      <c r="J114" s="5">
        <f t="shared" si="28"/>
        <v>60.5</v>
      </c>
      <c r="K114" s="5">
        <f t="shared" si="29"/>
        <v>14</v>
      </c>
      <c r="L114" s="5">
        <f t="shared" si="30"/>
        <v>23.5</v>
      </c>
      <c r="M114" s="5">
        <f t="shared" si="31"/>
        <v>21</v>
      </c>
    </row>
    <row r="115" spans="1:13" ht="22.05" customHeight="1">
      <c r="A115" s="1" t="s">
        <v>126</v>
      </c>
      <c r="B115" s="3">
        <v>3.7</v>
      </c>
      <c r="C115" s="3">
        <v>46.84</v>
      </c>
      <c r="D115" s="3">
        <v>3.39</v>
      </c>
      <c r="E115" s="3">
        <v>46.36</v>
      </c>
      <c r="F115" s="4">
        <f t="shared" si="24"/>
        <v>-0.31</v>
      </c>
      <c r="G115" s="4">
        <f t="shared" si="25"/>
        <v>-0.48</v>
      </c>
      <c r="H115" s="5">
        <f t="shared" si="26"/>
        <v>20</v>
      </c>
      <c r="I115" s="5">
        <f t="shared" si="27"/>
        <v>15</v>
      </c>
      <c r="J115" s="5">
        <f t="shared" si="28"/>
        <v>26</v>
      </c>
      <c r="K115" s="5">
        <f t="shared" si="29"/>
        <v>17</v>
      </c>
      <c r="L115" s="5">
        <f t="shared" si="30"/>
        <v>52</v>
      </c>
      <c r="M115" s="5">
        <f t="shared" si="31"/>
        <v>49.5</v>
      </c>
    </row>
    <row r="116" spans="1:13" ht="22.05" customHeight="1">
      <c r="A116" s="1" t="s">
        <v>127</v>
      </c>
      <c r="B116" s="3">
        <v>4.9000000000000004</v>
      </c>
      <c r="C116" s="3">
        <v>45.91</v>
      </c>
      <c r="D116" s="3">
        <v>4.3600000000000003</v>
      </c>
      <c r="E116" s="3">
        <v>45.46</v>
      </c>
      <c r="F116" s="4">
        <f t="shared" si="24"/>
        <v>-0.54</v>
      </c>
      <c r="G116" s="4">
        <f t="shared" si="25"/>
        <v>-0.45</v>
      </c>
      <c r="H116" s="5">
        <f t="shared" si="26"/>
        <v>43</v>
      </c>
      <c r="I116" s="5">
        <f t="shared" si="27"/>
        <v>5</v>
      </c>
      <c r="J116" s="5">
        <f t="shared" si="28"/>
        <v>37</v>
      </c>
      <c r="K116" s="5">
        <f t="shared" si="29"/>
        <v>8</v>
      </c>
      <c r="L116" s="5">
        <f t="shared" si="30"/>
        <v>47</v>
      </c>
      <c r="M116" s="5">
        <f t="shared" si="31"/>
        <v>51</v>
      </c>
    </row>
    <row r="117" spans="1:13" ht="22.05" customHeight="1">
      <c r="A117" s="1" t="s">
        <v>128</v>
      </c>
      <c r="B117" s="3">
        <v>0.73</v>
      </c>
      <c r="C117" s="3">
        <v>46.42</v>
      </c>
      <c r="D117" s="3">
        <v>0.54</v>
      </c>
      <c r="E117" s="3">
        <v>46.34</v>
      </c>
      <c r="F117" s="4">
        <f t="shared" si="24"/>
        <v>-0.19</v>
      </c>
      <c r="G117" s="4">
        <f t="shared" si="25"/>
        <v>-0.08</v>
      </c>
      <c r="H117" s="5">
        <f t="shared" si="26"/>
        <v>1</v>
      </c>
      <c r="I117" s="5">
        <f t="shared" si="27"/>
        <v>9</v>
      </c>
      <c r="J117" s="5">
        <f t="shared" si="28"/>
        <v>1</v>
      </c>
      <c r="K117" s="5">
        <f t="shared" si="29"/>
        <v>15</v>
      </c>
      <c r="L117" s="5">
        <f t="shared" si="30"/>
        <v>57</v>
      </c>
      <c r="M117" s="5">
        <f t="shared" si="31"/>
        <v>68</v>
      </c>
    </row>
    <row r="118" spans="1:13" ht="22.05" customHeight="1">
      <c r="A118" s="1" t="s">
        <v>129</v>
      </c>
      <c r="B118" s="3">
        <v>5.76</v>
      </c>
      <c r="C118" s="3">
        <v>44.87</v>
      </c>
      <c r="D118" s="3">
        <v>5.04</v>
      </c>
      <c r="E118" s="3">
        <v>45.63</v>
      </c>
      <c r="F118" s="4">
        <f t="shared" si="24"/>
        <v>-0.72</v>
      </c>
      <c r="G118" s="4">
        <f t="shared" si="25"/>
        <v>0.76</v>
      </c>
      <c r="H118" s="5">
        <f t="shared" si="26"/>
        <v>58</v>
      </c>
      <c r="I118" s="5">
        <f t="shared" si="27"/>
        <v>2</v>
      </c>
      <c r="J118" s="5">
        <f t="shared" si="28"/>
        <v>51</v>
      </c>
      <c r="K118" s="5">
        <f t="shared" si="29"/>
        <v>10</v>
      </c>
      <c r="L118" s="5">
        <f t="shared" si="30"/>
        <v>42</v>
      </c>
      <c r="M118" s="5">
        <f t="shared" si="31"/>
        <v>111.5</v>
      </c>
    </row>
    <row r="119" spans="1:13" ht="22.05" customHeight="1">
      <c r="A119" s="1" t="s">
        <v>130</v>
      </c>
      <c r="B119" s="3">
        <v>5.5</v>
      </c>
      <c r="C119" s="3">
        <v>46.72</v>
      </c>
      <c r="D119" s="3">
        <v>5.32</v>
      </c>
      <c r="E119" s="3">
        <v>45.53</v>
      </c>
      <c r="F119" s="4">
        <f t="shared" si="24"/>
        <v>-0.18</v>
      </c>
      <c r="G119" s="4">
        <f t="shared" si="25"/>
        <v>-1.19</v>
      </c>
      <c r="H119" s="5">
        <f t="shared" si="26"/>
        <v>52</v>
      </c>
      <c r="I119" s="5">
        <f t="shared" si="27"/>
        <v>14</v>
      </c>
      <c r="J119" s="5">
        <f t="shared" si="28"/>
        <v>55</v>
      </c>
      <c r="K119" s="5">
        <f t="shared" si="29"/>
        <v>9</v>
      </c>
      <c r="L119" s="5">
        <f t="shared" si="30"/>
        <v>59</v>
      </c>
      <c r="M119" s="5">
        <f t="shared" si="31"/>
        <v>16</v>
      </c>
    </row>
    <row r="120" spans="1:13" ht="22.05" customHeight="1">
      <c r="A120" s="1" t="s">
        <v>131</v>
      </c>
      <c r="B120" s="3">
        <v>4.33</v>
      </c>
      <c r="C120" s="3">
        <v>46.08</v>
      </c>
      <c r="D120" s="3">
        <v>2.35</v>
      </c>
      <c r="E120" s="3">
        <v>45.71</v>
      </c>
      <c r="F120" s="4">
        <f t="shared" si="24"/>
        <v>-1.98</v>
      </c>
      <c r="G120" s="4">
        <f t="shared" si="25"/>
        <v>-0.37</v>
      </c>
      <c r="H120" s="5">
        <f t="shared" si="26"/>
        <v>31</v>
      </c>
      <c r="I120" s="5">
        <f t="shared" si="27"/>
        <v>6</v>
      </c>
      <c r="J120" s="5">
        <f t="shared" si="28"/>
        <v>11</v>
      </c>
      <c r="K120" s="5">
        <f t="shared" si="29"/>
        <v>12</v>
      </c>
      <c r="L120" s="5">
        <f t="shared" si="30"/>
        <v>13</v>
      </c>
      <c r="M120" s="5">
        <f t="shared" si="31"/>
        <v>53.5</v>
      </c>
    </row>
    <row r="121" spans="1:13" ht="22.05" customHeight="1">
      <c r="A121" s="1" t="s">
        <v>132</v>
      </c>
      <c r="B121" s="3">
        <v>5.29</v>
      </c>
      <c r="C121" s="3">
        <v>46.25</v>
      </c>
      <c r="D121" s="3">
        <v>5.42</v>
      </c>
      <c r="E121" s="3">
        <v>45.41</v>
      </c>
      <c r="F121" s="4">
        <f t="shared" si="24"/>
        <v>0.13</v>
      </c>
      <c r="G121" s="4">
        <f t="shared" si="25"/>
        <v>-0.84</v>
      </c>
      <c r="H121" s="5">
        <f t="shared" si="26"/>
        <v>50</v>
      </c>
      <c r="I121" s="5">
        <f t="shared" si="27"/>
        <v>8</v>
      </c>
      <c r="J121" s="5">
        <f t="shared" si="28"/>
        <v>56.5</v>
      </c>
      <c r="K121" s="5">
        <f t="shared" si="29"/>
        <v>7</v>
      </c>
      <c r="L121" s="5">
        <f t="shared" si="30"/>
        <v>75</v>
      </c>
      <c r="M121" s="5">
        <f t="shared" si="31"/>
        <v>32</v>
      </c>
    </row>
    <row r="122" spans="1:13" ht="22.05" customHeight="1">
      <c r="A122" s="1" t="s">
        <v>133</v>
      </c>
      <c r="B122" s="3">
        <v>4.2</v>
      </c>
      <c r="C122" s="3">
        <v>49.27</v>
      </c>
      <c r="D122" s="3">
        <v>2.12</v>
      </c>
      <c r="E122" s="3">
        <v>45.64</v>
      </c>
      <c r="F122" s="4">
        <f t="shared" si="24"/>
        <v>-2.08</v>
      </c>
      <c r="G122" s="4">
        <f t="shared" si="25"/>
        <v>-3.63</v>
      </c>
      <c r="H122" s="5">
        <f t="shared" si="26"/>
        <v>29</v>
      </c>
      <c r="I122" s="5">
        <f t="shared" si="27"/>
        <v>45</v>
      </c>
      <c r="J122" s="5">
        <f t="shared" si="28"/>
        <v>10</v>
      </c>
      <c r="K122" s="5">
        <f t="shared" si="29"/>
        <v>11</v>
      </c>
      <c r="L122" s="5">
        <f t="shared" si="30"/>
        <v>11</v>
      </c>
      <c r="M122" s="5">
        <f t="shared" si="31"/>
        <v>2</v>
      </c>
    </row>
    <row r="123" spans="1:13" ht="22.05" customHeight="1">
      <c r="A123" s="1" t="s">
        <v>134</v>
      </c>
      <c r="B123" s="3">
        <v>4.18</v>
      </c>
      <c r="C123" s="3">
        <v>46.61</v>
      </c>
      <c r="D123" s="3">
        <v>4.63</v>
      </c>
      <c r="E123" s="3">
        <v>45.21</v>
      </c>
      <c r="F123" s="4">
        <f t="shared" si="24"/>
        <v>0.45</v>
      </c>
      <c r="G123" s="4">
        <f t="shared" si="25"/>
        <v>-1.4</v>
      </c>
      <c r="H123" s="5">
        <f t="shared" si="26"/>
        <v>27.5</v>
      </c>
      <c r="I123" s="5">
        <f t="shared" si="27"/>
        <v>11</v>
      </c>
      <c r="J123" s="5">
        <f t="shared" si="28"/>
        <v>44</v>
      </c>
      <c r="K123" s="5">
        <f t="shared" si="29"/>
        <v>6</v>
      </c>
      <c r="L123" s="5">
        <f t="shared" si="30"/>
        <v>85</v>
      </c>
      <c r="M123" s="5">
        <f t="shared" si="31"/>
        <v>13</v>
      </c>
    </row>
    <row r="124" spans="1:13" ht="22.05" customHeight="1">
      <c r="A124" s="1" t="s">
        <v>135</v>
      </c>
      <c r="B124" s="3">
        <v>6.5</v>
      </c>
      <c r="C124" s="3">
        <v>45.53</v>
      </c>
      <c r="D124" s="3">
        <v>4.57</v>
      </c>
      <c r="E124" s="3">
        <v>44.91</v>
      </c>
      <c r="F124" s="4">
        <f t="shared" si="24"/>
        <v>-1.93</v>
      </c>
      <c r="G124" s="4">
        <f t="shared" si="25"/>
        <v>-0.62</v>
      </c>
      <c r="H124" s="5">
        <f t="shared" si="26"/>
        <v>65</v>
      </c>
      <c r="I124" s="5">
        <f t="shared" si="27"/>
        <v>3</v>
      </c>
      <c r="J124" s="5">
        <f t="shared" si="28"/>
        <v>41</v>
      </c>
      <c r="K124" s="5">
        <f t="shared" si="29"/>
        <v>5</v>
      </c>
      <c r="L124" s="5">
        <f t="shared" si="30"/>
        <v>14</v>
      </c>
      <c r="M124" s="5">
        <f t="shared" si="31"/>
        <v>43</v>
      </c>
    </row>
    <row r="125" spans="1:13" ht="22.05" customHeight="1">
      <c r="A125" s="1" t="s">
        <v>136</v>
      </c>
      <c r="B125" s="3">
        <v>2.72</v>
      </c>
      <c r="C125" s="3">
        <v>46.48</v>
      </c>
      <c r="D125" s="3">
        <v>2.06</v>
      </c>
      <c r="E125" s="3">
        <v>44.58</v>
      </c>
      <c r="F125" s="4">
        <f t="shared" si="24"/>
        <v>-0.66</v>
      </c>
      <c r="G125" s="4">
        <f t="shared" si="25"/>
        <v>-1.9</v>
      </c>
      <c r="H125" s="5">
        <f t="shared" si="26"/>
        <v>9</v>
      </c>
      <c r="I125" s="5">
        <f t="shared" si="27"/>
        <v>10</v>
      </c>
      <c r="J125" s="5">
        <f t="shared" si="28"/>
        <v>9</v>
      </c>
      <c r="K125" s="5">
        <f t="shared" si="29"/>
        <v>4</v>
      </c>
      <c r="L125" s="5">
        <f t="shared" si="30"/>
        <v>43.5</v>
      </c>
      <c r="M125" s="5">
        <f t="shared" si="31"/>
        <v>5.5</v>
      </c>
    </row>
    <row r="126" spans="1:13" ht="22.05" customHeight="1">
      <c r="A126" s="1" t="s">
        <v>137</v>
      </c>
      <c r="B126" s="3">
        <v>2.04</v>
      </c>
      <c r="C126" s="3">
        <v>45.87</v>
      </c>
      <c r="D126" s="3">
        <v>1.19</v>
      </c>
      <c r="E126" s="3">
        <v>44.5</v>
      </c>
      <c r="F126" s="4">
        <f t="shared" si="24"/>
        <v>-0.85</v>
      </c>
      <c r="G126" s="4">
        <f t="shared" si="25"/>
        <v>-1.37</v>
      </c>
      <c r="H126" s="5">
        <f t="shared" si="26"/>
        <v>7</v>
      </c>
      <c r="I126" s="5">
        <f t="shared" si="27"/>
        <v>4</v>
      </c>
      <c r="J126" s="5">
        <f t="shared" si="28"/>
        <v>3</v>
      </c>
      <c r="K126" s="5">
        <f t="shared" si="29"/>
        <v>3</v>
      </c>
      <c r="L126" s="5">
        <f t="shared" si="30"/>
        <v>37.5</v>
      </c>
      <c r="M126" s="5">
        <f t="shared" si="31"/>
        <v>14</v>
      </c>
    </row>
    <row r="127" spans="1:13" ht="22.05" customHeight="1">
      <c r="A127" s="1" t="s">
        <v>138</v>
      </c>
      <c r="B127" s="3">
        <v>16.399999999999999</v>
      </c>
      <c r="C127" s="3">
        <v>48.1</v>
      </c>
      <c r="D127" s="3">
        <v>9.07</v>
      </c>
      <c r="E127" s="3">
        <v>43.32</v>
      </c>
      <c r="F127" s="4">
        <f t="shared" si="24"/>
        <v>-7.33</v>
      </c>
      <c r="G127" s="4">
        <f t="shared" si="25"/>
        <v>-4.78</v>
      </c>
      <c r="H127" s="5">
        <f t="shared" si="26"/>
        <v>120</v>
      </c>
      <c r="I127" s="5">
        <f t="shared" si="27"/>
        <v>27.5</v>
      </c>
      <c r="J127" s="5">
        <f t="shared" si="28"/>
        <v>84</v>
      </c>
      <c r="K127" s="5">
        <f t="shared" si="29"/>
        <v>1</v>
      </c>
      <c r="L127" s="5">
        <f t="shared" si="30"/>
        <v>1</v>
      </c>
      <c r="M127" s="5">
        <f t="shared" si="31"/>
        <v>1</v>
      </c>
    </row>
    <row r="128" spans="1:13" ht="22.05" customHeight="1">
      <c r="A128" s="1" t="s">
        <v>139</v>
      </c>
      <c r="B128" s="3">
        <v>10.210000000000001</v>
      </c>
      <c r="C128" s="3">
        <v>44.28</v>
      </c>
      <c r="D128" s="3">
        <v>8.5</v>
      </c>
      <c r="E128" s="3">
        <v>43.36</v>
      </c>
      <c r="F128" s="4">
        <f t="shared" si="24"/>
        <v>-1.71</v>
      </c>
      <c r="G128" s="4">
        <f t="shared" si="25"/>
        <v>-0.92</v>
      </c>
      <c r="H128" s="5">
        <f t="shared" si="26"/>
        <v>91</v>
      </c>
      <c r="I128" s="5">
        <f t="shared" si="27"/>
        <v>1</v>
      </c>
      <c r="J128" s="5">
        <f t="shared" si="28"/>
        <v>83</v>
      </c>
      <c r="K128" s="5">
        <f t="shared" si="29"/>
        <v>2</v>
      </c>
      <c r="L128" s="5">
        <f t="shared" si="30"/>
        <v>19</v>
      </c>
      <c r="M128" s="5">
        <f t="shared" si="31"/>
        <v>28.5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3.8"/>
  <cols>
    <col min="1" max="1" width="75" customWidth="1"/>
    <col min="2" max="2" width="22" customWidth="1"/>
  </cols>
  <sheetData>
    <row r="1" spans="1:2" ht="19.2" customHeight="1">
      <c r="A1" s="6" t="s">
        <v>140</v>
      </c>
      <c r="B1" s="1"/>
    </row>
    <row r="2" spans="1:2" ht="19.2" customHeight="1">
      <c r="A2" s="1"/>
      <c r="B2" s="1"/>
    </row>
    <row r="3" spans="1:2" ht="19.2" customHeight="1">
      <c r="A3" s="1" t="s">
        <v>141</v>
      </c>
      <c r="B3" s="8">
        <f>COUNT(Данные!B2:B128)</f>
        <v>127</v>
      </c>
    </row>
    <row r="4" spans="1:2" ht="19.2" customHeight="1">
      <c r="A4" s="1"/>
      <c r="B4" s="7"/>
    </row>
    <row r="5" spans="1:2" ht="19.2" customHeight="1">
      <c r="A5" s="10" t="s">
        <v>142</v>
      </c>
      <c r="B5" s="11">
        <f>CORREL(Данные!H2:H128,Данные!I2:I128)</f>
        <v>0.24616324270909357</v>
      </c>
    </row>
    <row r="6" spans="1:2" ht="19.2" customHeight="1">
      <c r="A6" s="1" t="s">
        <v>143</v>
      </c>
      <c r="B6" s="9">
        <f>TDIST(ABS(B5*SQRT((B3-2)/(1-B5^2))),B3-2,2)</f>
        <v>5.2748260648961603E-3</v>
      </c>
    </row>
    <row r="7" spans="1:2" ht="19.2" customHeight="1">
      <c r="A7" s="1"/>
      <c r="B7" s="7"/>
    </row>
    <row r="8" spans="1:2" ht="19.2" customHeight="1">
      <c r="A8" s="10" t="s">
        <v>144</v>
      </c>
      <c r="B8" s="11">
        <f>CORREL(Данные!J2:J128,Данные!K2:K128)</f>
        <v>0.36410812996140018</v>
      </c>
    </row>
    <row r="9" spans="1:2" ht="19.2" customHeight="1">
      <c r="A9" s="1" t="s">
        <v>143</v>
      </c>
      <c r="B9" s="9">
        <f>TDIST(ABS(B8*SQRT((B3-2)/(1-B8^2))),B3-2,2)</f>
        <v>2.5752605617110338E-5</v>
      </c>
    </row>
    <row r="10" spans="1:2" ht="19.2" customHeight="1">
      <c r="A10" s="1"/>
      <c r="B10" s="7"/>
    </row>
    <row r="11" spans="1:2" ht="19.2" customHeight="1">
      <c r="A11" s="10" t="s">
        <v>145</v>
      </c>
      <c r="B11" s="11">
        <f>CORREL(Данные!L2:L128,Данные!M2:M128)</f>
        <v>0.46757920639803141</v>
      </c>
    </row>
    <row r="12" spans="1:2" ht="19.2" customHeight="1">
      <c r="A12" s="1" t="s">
        <v>143</v>
      </c>
      <c r="B12" s="9">
        <f>TDIST(ABS(B11*SQRT((B3-2)/(1-B11^2))),B3-2,2)</f>
        <v>2.9841648438327411E-8</v>
      </c>
    </row>
    <row r="13" spans="1:2" ht="19.2" customHeight="1">
      <c r="A13" s="1"/>
      <c r="B13" s="7"/>
    </row>
    <row r="14" spans="1:2" ht="19.2" customHeight="1">
      <c r="A14" s="1" t="s">
        <v>146</v>
      </c>
      <c r="B14" s="7">
        <f>AVERAGE(Данные!B2:B128)</f>
        <v>7.8743307086614189</v>
      </c>
    </row>
    <row r="15" spans="1:2" ht="19.2" customHeight="1">
      <c r="A15" s="1" t="s">
        <v>147</v>
      </c>
      <c r="B15" s="7">
        <f>MEDIAN(Данные!B2:B128)</f>
        <v>6.41</v>
      </c>
    </row>
    <row r="16" spans="1:2" ht="19.2" customHeight="1">
      <c r="A16" s="1" t="s">
        <v>148</v>
      </c>
      <c r="B16" s="7">
        <f>MIN(Данные!B2:B128)</f>
        <v>0.73</v>
      </c>
    </row>
    <row r="17" spans="1:2" ht="19.2" customHeight="1">
      <c r="A17" s="1" t="s">
        <v>149</v>
      </c>
      <c r="B17" s="7">
        <f>MAX(Данные!B2:B128)</f>
        <v>26.9</v>
      </c>
    </row>
    <row r="18" spans="1:2" ht="19.2" customHeight="1">
      <c r="A18" s="1" t="s">
        <v>150</v>
      </c>
      <c r="B18" s="7">
        <f>AVERAGE(Данные!C2:C128)</f>
        <v>49.705748031496057</v>
      </c>
    </row>
    <row r="19" spans="1:2" ht="19.2" customHeight="1">
      <c r="A19" s="1"/>
      <c r="B19" s="7"/>
    </row>
    <row r="20" spans="1:2" ht="19.2" customHeight="1">
      <c r="A20" s="1" t="s">
        <v>151</v>
      </c>
      <c r="B20" s="7">
        <f>AVERAGE(Данные!D2:D128)</f>
        <v>7.8744094488188994</v>
      </c>
    </row>
    <row r="21" spans="1:2" ht="19.2" customHeight="1">
      <c r="A21" s="1" t="s">
        <v>152</v>
      </c>
      <c r="B21" s="7">
        <f>MEDIAN(Данные!D2:D128)</f>
        <v>5.94</v>
      </c>
    </row>
    <row r="22" spans="1:2" ht="19.2" customHeight="1">
      <c r="A22" s="1" t="s">
        <v>153</v>
      </c>
      <c r="B22" s="7">
        <f>MIN(Данные!D2:D128)</f>
        <v>0.54</v>
      </c>
    </row>
    <row r="23" spans="1:2" ht="19.2" customHeight="1">
      <c r="A23" s="1" t="s">
        <v>154</v>
      </c>
      <c r="B23" s="7">
        <f>MAX(Данные!D2:D128)</f>
        <v>27.5</v>
      </c>
    </row>
    <row r="24" spans="1:2" ht="19.2" customHeight="1">
      <c r="A24" s="1" t="s">
        <v>155</v>
      </c>
      <c r="B24" s="7">
        <f>AVERAGE(Данные!E2:E128)</f>
        <v>49.463385826771663</v>
      </c>
    </row>
    <row r="25" spans="1:2" ht="19.2" customHeight="1">
      <c r="A25" s="1"/>
      <c r="B25" s="7"/>
    </row>
    <row r="26" spans="1:2" ht="19.2" customHeight="1">
      <c r="A26" s="1" t="s">
        <v>156</v>
      </c>
      <c r="B26" s="8">
        <f>SUMPRODUCT((Данные!F2:F128&gt;0)*(Данные!G2:G128&gt;0))+SUMPRODUCT((Данные!F2:F128&lt;0)*(Данные!G2:G128&lt;0))</f>
        <v>87</v>
      </c>
    </row>
    <row r="27" spans="1:2" ht="19.2" customHeight="1">
      <c r="A27" s="1" t="s">
        <v>157</v>
      </c>
      <c r="B27" s="8">
        <f>SUMPRODUCT((Данные!F2:F128&gt;0)*(Данные!G2:G128&lt;0))+SUMPRODUCT((Данные!F2:F128&lt;0)*(Данные!G2:G128&gt;0))</f>
        <v>40</v>
      </c>
    </row>
    <row r="28" spans="1:2" ht="19.2" customHeight="1">
      <c r="A28" s="1" t="s">
        <v>158</v>
      </c>
      <c r="B28" s="8">
        <f>B3-B26-B27</f>
        <v>0</v>
      </c>
    </row>
    <row r="29" spans="1:2" ht="19.2" customHeight="1">
      <c r="A29" s="1" t="s">
        <v>159</v>
      </c>
      <c r="B29" s="7">
        <f>(SUMIF(Данные!F2:F128,"&gt;0",Данные!F2:F128)-SUMIF(Данные!F2:F128,"&lt;0",Данные!F2:F128))/B3</f>
        <v>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Расчеты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Павлов Д.Н</dc:creator>
  <cp:lastModifiedBy>Дамир Павлов</cp:lastModifiedBy>
  <dcterms:modified xsi:type="dcterms:W3CDTF">2026-10-29T19:51:53Z</dcterms:modified>
</cp:coreProperties>
</file>